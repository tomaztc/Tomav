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z\Documents\ITA\PRJ-22\Tomav\"/>
    </mc:Choice>
  </mc:AlternateContent>
  <xr:revisionPtr revIDLastSave="0" documentId="13_ncr:1_{A963F548-F40B-4DAE-A3C7-14806580AA88}" xr6:coauthVersionLast="47" xr6:coauthVersionMax="47" xr10:uidLastSave="{00000000-0000-0000-0000-000000000000}"/>
  <bookViews>
    <workbookView xWindow="-108" yWindow="-108" windowWidth="23256" windowHeight="12720" firstSheet="1" activeTab="1" xr2:uid="{6E67718A-9D57-473B-8977-4087FD92290E}"/>
  </bookViews>
  <sheets>
    <sheet name="GetPath" sheetId="3" state="hidden" r:id="rId1"/>
    <sheet name="Sheet1" sheetId="1" r:id="rId2"/>
    <sheet name="tomav" sheetId="5" r:id="rId3"/>
  </sheets>
  <definedNames>
    <definedName name="ExternalData_1" localSheetId="0" hidden="1">GetPath!$A$1:$A$2</definedName>
    <definedName name="ExternalData_3" localSheetId="2" hidden="1">tomav!$A$1:$B$222</definedName>
    <definedName name="FolderPath">Sheet1!$J$1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N13" i="1" s="1"/>
  <c r="J14" i="1"/>
  <c r="L14" i="1" s="1"/>
  <c r="J3" i="1"/>
  <c r="L3" i="1" s="1"/>
  <c r="J15" i="1"/>
  <c r="L15" i="1" s="1"/>
  <c r="J4" i="1"/>
  <c r="N4" i="1" s="1"/>
  <c r="J5" i="1"/>
  <c r="L5" i="1" s="1"/>
  <c r="J10" i="1"/>
  <c r="L10" i="1" s="1"/>
  <c r="J6" i="1"/>
  <c r="L6" i="1" s="1"/>
  <c r="J16" i="1"/>
  <c r="N16" i="1" s="1"/>
  <c r="J17" i="1"/>
  <c r="L17" i="1" s="1"/>
  <c r="J18" i="1"/>
  <c r="L18" i="1" s="1"/>
  <c r="J11" i="1"/>
  <c r="K11" i="1" s="1"/>
  <c r="J7" i="1"/>
  <c r="N7" i="1" s="1"/>
  <c r="J8" i="1"/>
  <c r="L8" i="1" s="1"/>
  <c r="J9" i="1"/>
  <c r="L9" i="1" s="1"/>
  <c r="J19" i="1"/>
  <c r="L19" i="1" s="1"/>
  <c r="J20" i="1"/>
  <c r="N20" i="1" s="1"/>
  <c r="J21" i="1"/>
  <c r="L21" i="1" s="1"/>
  <c r="J12" i="1"/>
  <c r="L12" i="1" s="1"/>
  <c r="J1" i="1" a="1"/>
  <c r="J1" i="1" s="1"/>
  <c r="K18" i="1" l="1"/>
  <c r="M17" i="1"/>
  <c r="M16" i="1"/>
  <c r="K6" i="1"/>
  <c r="M21" i="1"/>
  <c r="M8" i="1"/>
  <c r="M4" i="1"/>
  <c r="M5" i="1"/>
  <c r="M14" i="1"/>
  <c r="M20" i="1"/>
  <c r="M13" i="1"/>
  <c r="K12" i="1"/>
  <c r="K10" i="1"/>
  <c r="L20" i="1"/>
  <c r="L7" i="1"/>
  <c r="L16" i="1"/>
  <c r="L4" i="1"/>
  <c r="L13" i="1"/>
  <c r="K21" i="1"/>
  <c r="K5" i="1"/>
  <c r="N19" i="1"/>
  <c r="N11" i="1"/>
  <c r="N6" i="1"/>
  <c r="N15" i="1"/>
  <c r="N12" i="1"/>
  <c r="K20" i="1"/>
  <c r="K4" i="1"/>
  <c r="M19" i="1"/>
  <c r="M11" i="1"/>
  <c r="M6" i="1"/>
  <c r="M15" i="1"/>
  <c r="M12" i="1"/>
  <c r="M7" i="1"/>
  <c r="K19" i="1"/>
  <c r="K15" i="1"/>
  <c r="L11" i="1"/>
  <c r="K9" i="1"/>
  <c r="K3" i="1"/>
  <c r="N9" i="1"/>
  <c r="N18" i="1"/>
  <c r="N10" i="1"/>
  <c r="N3" i="1"/>
  <c r="K8" i="1"/>
  <c r="K14" i="1"/>
  <c r="M9" i="1"/>
  <c r="M18" i="1"/>
  <c r="M10" i="1"/>
  <c r="M3" i="1"/>
  <c r="K7" i="1"/>
  <c r="K13" i="1"/>
  <c r="N21" i="1"/>
  <c r="N8" i="1"/>
  <c r="N17" i="1"/>
  <c r="N5" i="1"/>
  <c r="N14" i="1"/>
  <c r="K17" i="1"/>
  <c r="K16" i="1"/>
  <c r="O17" i="1" l="1"/>
  <c r="O4" i="1"/>
  <c r="O6" i="1"/>
  <c r="O15" i="1"/>
  <c r="O18" i="1"/>
  <c r="O19" i="1"/>
  <c r="O11" i="1"/>
  <c r="O16" i="1"/>
  <c r="O14" i="1"/>
  <c r="O5" i="1"/>
  <c r="O8" i="1"/>
  <c r="O21" i="1"/>
  <c r="O13" i="1"/>
  <c r="O3" i="1"/>
  <c r="O20" i="1"/>
  <c r="O7" i="1"/>
  <c r="O9" i="1"/>
  <c r="O10" i="1"/>
  <c r="O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53ED5-52B2-44E3-AF29-456A94010F7B}" keepAlive="1" name="Query - GetPath" description="Connection to the 'GetPath' query in the workbook." type="5" refreshedVersion="8" background="1" saveData="1">
    <dbPr connection="Provider=Microsoft.Mashup.OleDb.1;Data Source=$Workbook$;Location=GetPath;Extended Properties=&quot;&quot;" command="SELECT * FROM [GetPath]"/>
  </connection>
  <connection id="2" xr16:uid="{60F38D67-285F-4717-BA45-7BFA74FE4035}" keepAlive="1" name="Query - tomav" description="Connection to the 'tomav' query in the workbook." type="5" refreshedVersion="8" background="1" saveData="1">
    <dbPr connection="Provider=Microsoft.Mashup.OleDb.1;Data Source=$Workbook$;Location=tomav;Extended Properties=&quot;&quot;" command="SELECT * FROM [toma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<sst xmlns="http://schemas.openxmlformats.org/spreadsheetml/2006/main" count="267" uniqueCount="259">
  <si>
    <t>Parâmetro</t>
  </si>
  <si>
    <t>Pesquisa 1</t>
  </si>
  <si>
    <t>Pesquisa 2</t>
  </si>
  <si>
    <t>Pesquisa 3</t>
  </si>
  <si>
    <t>Pesquisa 4</t>
  </si>
  <si>
    <t>Mínimo</t>
  </si>
  <si>
    <t>Máximo</t>
  </si>
  <si>
    <t>AR_w</t>
  </si>
  <si>
    <t>taper_w</t>
  </si>
  <si>
    <t>sweep_w</t>
  </si>
  <si>
    <t>tcr_w</t>
  </si>
  <si>
    <t>tct_w</t>
  </si>
  <si>
    <t>Cht</t>
  </si>
  <si>
    <t>AR_h</t>
  </si>
  <si>
    <t>taper_h</t>
  </si>
  <si>
    <t>sweep_h</t>
  </si>
  <si>
    <t>tcr_h</t>
  </si>
  <si>
    <t>tct_h</t>
  </si>
  <si>
    <t>Cvt</t>
  </si>
  <si>
    <t>AR_v</t>
  </si>
  <si>
    <t>taper_v</t>
  </si>
  <si>
    <t>sweep_v</t>
  </si>
  <si>
    <t>tcr_v</t>
  </si>
  <si>
    <t>tct_v</t>
  </si>
  <si>
    <t>c_flap_c_wing</t>
  </si>
  <si>
    <t>b_flap_b_wing</t>
  </si>
  <si>
    <t>Column1</t>
  </si>
  <si>
    <t>C:\Users\Tomaz\Documents\ITA\PRJ-22\Tomav\</t>
  </si>
  <si>
    <t>GetPath</t>
  </si>
  <si>
    <t>Column2</t>
  </si>
  <si>
    <t>inputs_delta_xr_w</t>
  </si>
  <si>
    <t>inputs_type</t>
  </si>
  <si>
    <t>inputs_S_w</t>
  </si>
  <si>
    <t>inputs_AR_w</t>
  </si>
  <si>
    <t>inputs_taper_w</t>
  </si>
  <si>
    <t>inputs_sweep_w</t>
  </si>
  <si>
    <t>inputs_dihedral_w</t>
  </si>
  <si>
    <t>inputs_xr_w</t>
  </si>
  <si>
    <t>inputs_zr_w</t>
  </si>
  <si>
    <t>inputs_tcr_w</t>
  </si>
  <si>
    <t>inputs_tct_w</t>
  </si>
  <si>
    <t>inputs_Cht</t>
  </si>
  <si>
    <t>inputs_Lc_h</t>
  </si>
  <si>
    <t>inputs_AR_h</t>
  </si>
  <si>
    <t>inputs_taper_h</t>
  </si>
  <si>
    <t>inputs_sweep_h</t>
  </si>
  <si>
    <t>inputs_dihedral_h</t>
  </si>
  <si>
    <t>inputs_zr_h</t>
  </si>
  <si>
    <t>inputs_tcr_h</t>
  </si>
  <si>
    <t>inputs_tct_h</t>
  </si>
  <si>
    <t>inputs_eta_h</t>
  </si>
  <si>
    <t>inputs_Cvt</t>
  </si>
  <si>
    <t>inputs_Lb_v</t>
  </si>
  <si>
    <t>inputs_AR_v</t>
  </si>
  <si>
    <t>inputs_taper_v</t>
  </si>
  <si>
    <t>inputs_sweep_v</t>
  </si>
  <si>
    <t>inputs_zr_v</t>
  </si>
  <si>
    <t>inputs_tcr_v</t>
  </si>
  <si>
    <t>inputs_tct_v</t>
  </si>
  <si>
    <t>inputs_L_f</t>
  </si>
  <si>
    <t>inputs_D_f</t>
  </si>
  <si>
    <t>inputs_x_n</t>
  </si>
  <si>
    <t>inputs_y_n</t>
  </si>
  <si>
    <t>inputs_z_n</t>
  </si>
  <si>
    <t>inputs_L_n</t>
  </si>
  <si>
    <t>inputs_D_n</t>
  </si>
  <si>
    <t>inputs_n_engines</t>
  </si>
  <si>
    <t>inputs_n_engines_under_wing</t>
  </si>
  <si>
    <t>inputs_x_nlg</t>
  </si>
  <si>
    <t>inputs_x_mlg</t>
  </si>
  <si>
    <t>inputs_y_mlg</t>
  </si>
  <si>
    <t>inputs_z_lg</t>
  </si>
  <si>
    <t>inputs_x_tailstrike</t>
  </si>
  <si>
    <t>inputs_z_tailstrike</t>
  </si>
  <si>
    <t>inputs_c_tank_c_w</t>
  </si>
  <si>
    <t>inputs_x_tank_c_w</t>
  </si>
  <si>
    <t>inputs_b_tank_b_w_start</t>
  </si>
  <si>
    <t>inputs_b_tank_b_w_end</t>
  </si>
  <si>
    <t>inputs_clmax_w</t>
  </si>
  <si>
    <t>inputs_k_korn</t>
  </si>
  <si>
    <t>inputs_flap_type</t>
  </si>
  <si>
    <t>inputs_slat_type</t>
  </si>
  <si>
    <t>inputs_c_flap_c_wing</t>
  </si>
  <si>
    <t>inputs_b_flap_b_wing</t>
  </si>
  <si>
    <t>inputs_c_slat_c_wing</t>
  </si>
  <si>
    <t>inputs_b_slat_b_wing</t>
  </si>
  <si>
    <t>inputs_c_ail_c_wing</t>
  </si>
  <si>
    <t>inputs_b_ail_b_wing</t>
  </si>
  <si>
    <t>inputs_h_ground</t>
  </si>
  <si>
    <t>inputs_k_exc_drag</t>
  </si>
  <si>
    <t>inputs_winglet</t>
  </si>
  <si>
    <t>inputs_altitude_takeoff</t>
  </si>
  <si>
    <t>inputs_distance_takeoff</t>
  </si>
  <si>
    <t>inputs_deltaISA_takeoff</t>
  </si>
  <si>
    <t>inputs_altitude_landing</t>
  </si>
  <si>
    <t>inputs_distance_landing</t>
  </si>
  <si>
    <t>inputs_deltaISA_landing</t>
  </si>
  <si>
    <t>inputs_MLW_frac</t>
  </si>
  <si>
    <t>inputs_altitude_cruise</t>
  </si>
  <si>
    <t>inputs_Mach_cruise</t>
  </si>
  <si>
    <t>inputs_range_cruise</t>
  </si>
  <si>
    <t>inputs_altitude_maxcruise</t>
  </si>
  <si>
    <t>inputs_Mach_maxcruise</t>
  </si>
  <si>
    <t>inputs_time_loiter</t>
  </si>
  <si>
    <t>inputs_altitude_loiter</t>
  </si>
  <si>
    <t>inputs_altitude_altcruise</t>
  </si>
  <si>
    <t>inputs_Mach_altcruise</t>
  </si>
  <si>
    <t>inputs_range_altcruise</t>
  </si>
  <si>
    <t>inputs_W_payload</t>
  </si>
  <si>
    <t>inputs_xcg_payload</t>
  </si>
  <si>
    <t>inputs_W_crew</t>
  </si>
  <si>
    <t>inputs_xcg_crew</t>
  </si>
  <si>
    <t>inputs_block_range</t>
  </si>
  <si>
    <t>inputs_block_time</t>
  </si>
  <si>
    <t>inputs_n_captains</t>
  </si>
  <si>
    <t>inputs_n_copilots</t>
  </si>
  <si>
    <t>inputs_rho_fuel</t>
  </si>
  <si>
    <t>inputs_W0_guess</t>
  </si>
  <si>
    <t>inputs_engine_model</t>
  </si>
  <si>
    <t>inputs_engine_BPR</t>
  </si>
  <si>
    <t>inputs_engine_weight</t>
  </si>
  <si>
    <t>inputs_engine_C_ref</t>
  </si>
  <si>
    <t>inputs_engine_altitude_ref</t>
  </si>
  <si>
    <t>inputs_engine_Mach_ref</t>
  </si>
  <si>
    <t>inputs_engine_Tmax</t>
  </si>
  <si>
    <t>geometry_b_w</t>
  </si>
  <si>
    <t>geometry_cr_w</t>
  </si>
  <si>
    <t>geometry_xt_w</t>
  </si>
  <si>
    <t>geometry_yt_w</t>
  </si>
  <si>
    <t>geometry_zt_w</t>
  </si>
  <si>
    <t>geometry_ct_w</t>
  </si>
  <si>
    <t>geometry_xm_w</t>
  </si>
  <si>
    <t>geometry_ym_w</t>
  </si>
  <si>
    <t>geometry_zm_w</t>
  </si>
  <si>
    <t>geometry_cm_w</t>
  </si>
  <si>
    <t>geometry_S_h</t>
  </si>
  <si>
    <t>geometry_b_h</t>
  </si>
  <si>
    <t>geometry_xr_h</t>
  </si>
  <si>
    <t>geometry_cr_h</t>
  </si>
  <si>
    <t>geometry_xt_h</t>
  </si>
  <si>
    <t>geometry_yt_h</t>
  </si>
  <si>
    <t>geometry_zt_h</t>
  </si>
  <si>
    <t>geometry_ct_h</t>
  </si>
  <si>
    <t>geometry_xm_h</t>
  </si>
  <si>
    <t>geometry_ym_h</t>
  </si>
  <si>
    <t>geometry_zm_h</t>
  </si>
  <si>
    <t>geometry_cm_h</t>
  </si>
  <si>
    <t>geometry_S_v</t>
  </si>
  <si>
    <t>geometry_b_v</t>
  </si>
  <si>
    <t>geometry_xr_v</t>
  </si>
  <si>
    <t>geometry_cr_v</t>
  </si>
  <si>
    <t>geometry_xt_v</t>
  </si>
  <si>
    <t>geometry_zt_v</t>
  </si>
  <si>
    <t>geometry_ct_v</t>
  </si>
  <si>
    <t>geometry_xm_v</t>
  </si>
  <si>
    <t>geometry_zm_v</t>
  </si>
  <si>
    <t>geometry_cm_v</t>
  </si>
  <si>
    <t>aerodynamics_Swet_f</t>
  </si>
  <si>
    <t>aerodynamics_AR_eff</t>
  </si>
  <si>
    <t>aerodynamics_dragDict_Mach</t>
  </si>
  <si>
    <t>aerodynamics_dragDict_altitude</t>
  </si>
  <si>
    <t>aerodynamics_dragDict_CL</t>
  </si>
  <si>
    <t>aerodynamics_dragDict_n_engines_failed</t>
  </si>
  <si>
    <t>aerodynamics_dragDict_highlift_config</t>
  </si>
  <si>
    <t>aerodynamics_dragDict_lg_down</t>
  </si>
  <si>
    <t>aerodynamics_dragDict_h_ground</t>
  </si>
  <si>
    <t>aerodynamics_dragDict_CD</t>
  </si>
  <si>
    <t>aerodynamics_dragDict_CD0_w</t>
  </si>
  <si>
    <t>aerodynamics_dragDict_CD0_h</t>
  </si>
  <si>
    <t>aerodynamics_dragDict_CD0_v</t>
  </si>
  <si>
    <t>aerodynamics_dragDict_CD0_f</t>
  </si>
  <si>
    <t>aerodynamics_dragDict_CD0_n</t>
  </si>
  <si>
    <t>aerodynamics_dragDict_CD0_flap</t>
  </si>
  <si>
    <t>aerodynamics_dragDict_CD0_slat</t>
  </si>
  <si>
    <t>aerodynamics_dragDict_CD0_lg</t>
  </si>
  <si>
    <t>aerodynamics_dragDict_CD0_wdm</t>
  </si>
  <si>
    <t>aerodynamics_dragDict_CD0_exc</t>
  </si>
  <si>
    <t>aerodynamics_dragDict_CD0</t>
  </si>
  <si>
    <t>aerodynamics_dragDict_CDind</t>
  </si>
  <si>
    <t>aerodynamics_dragDict_CDwave</t>
  </si>
  <si>
    <t>aerodynamics_dragDict_CLmax_clean</t>
  </si>
  <si>
    <t>aerodynamics_dragDict_deltaCLmax_flap</t>
  </si>
  <si>
    <t>aerodynamics_dragDict_deltaCLmax_slat</t>
  </si>
  <si>
    <t>aerodynamics_dragDict_CLmax</t>
  </si>
  <si>
    <t>aerodynamics_dragDict_K</t>
  </si>
  <si>
    <t>aerodynamics_dragDict_e</t>
  </si>
  <si>
    <t>aerodynamics_dragDict_Swet</t>
  </si>
  <si>
    <t>empty_weight_W_w</t>
  </si>
  <si>
    <t>empty_weight_W_h</t>
  </si>
  <si>
    <t>empty_weight_W_v</t>
  </si>
  <si>
    <t>empty_weight_W_f</t>
  </si>
  <si>
    <t>empty_weight_W_nlg</t>
  </si>
  <si>
    <t>empty_weight_W_mlg</t>
  </si>
  <si>
    <t>empty_weight_W_eng</t>
  </si>
  <si>
    <t>empty_weight_W_allelse</t>
  </si>
  <si>
    <t>empty_weight_W_empty</t>
  </si>
  <si>
    <t>empty_weight_xcg_w</t>
  </si>
  <si>
    <t>empty_weight_xcg_h</t>
  </si>
  <si>
    <t>empty_weight_xcg_v</t>
  </si>
  <si>
    <t>empty_weight_xcg_f</t>
  </si>
  <si>
    <t>empty_weight_xcg_nlg</t>
  </si>
  <si>
    <t>empty_weight_xcg_mlg</t>
  </si>
  <si>
    <t>empty_weight_xcg_eng</t>
  </si>
  <si>
    <t>empty_weight_xcg_allelse</t>
  </si>
  <si>
    <t>empty_weight_xcg_empty</t>
  </si>
  <si>
    <t>fuel_weight_Mf_hist_start</t>
  </si>
  <si>
    <t>fuel_weight_Mf_hist_taxi</t>
  </si>
  <si>
    <t>fuel_weight_Mf_hist_takeoff</t>
  </si>
  <si>
    <t>fuel_weight_Mf_hist_climb</t>
  </si>
  <si>
    <t>fuel_weight_Mf_hist_cruise</t>
  </si>
  <si>
    <t>fuel_weight_Mf_hist_descent</t>
  </si>
  <si>
    <t>fuel_weight_Mf_hist_altcruise</t>
  </si>
  <si>
    <t>fuel_weight_Mf_hist_loiter</t>
  </si>
  <si>
    <t>fuel_weight_Mf_hist_landing</t>
  </si>
  <si>
    <t>fuel_weight_LD_hist_cruise</t>
  </si>
  <si>
    <t>fuel_weight_LD_hist_altcruise</t>
  </si>
  <si>
    <t>fuel_weight_LD_hist_loiter</t>
  </si>
  <si>
    <t>fuel_weight_C_hist_cruise</t>
  </si>
  <si>
    <t>fuel_weight_C_hist_loiter</t>
  </si>
  <si>
    <t>fuel_weight_C_hist_altcruise</t>
  </si>
  <si>
    <t>fuel_weight_trapped_fuel_factor</t>
  </si>
  <si>
    <t>thrust_matching_W0</t>
  </si>
  <si>
    <t>thrust_matching_W_empty</t>
  </si>
  <si>
    <t>thrust_matching_W_fuel</t>
  </si>
  <si>
    <t>thrust_matching_T0</t>
  </si>
  <si>
    <t>thrust_matching_CLmaxTO</t>
  </si>
  <si>
    <t>balance_xcg_fwd</t>
  </si>
  <si>
    <t>balance_xcg_aft</t>
  </si>
  <si>
    <t>balance_xnp</t>
  </si>
  <si>
    <t>balance_SM_fwd</t>
  </si>
  <si>
    <t>balance_SM_aft</t>
  </si>
  <si>
    <t>balance_tank_excess</t>
  </si>
  <si>
    <t>balance_V_maxfuel</t>
  </si>
  <si>
    <t>balance_W_maxfuel</t>
  </si>
  <si>
    <t>balance_xcg_fuel</t>
  </si>
  <si>
    <t>balance_CLv</t>
  </si>
  <si>
    <t>balance_CG_hist_xcg_e</t>
  </si>
  <si>
    <t>balance_CG_hist_W_e</t>
  </si>
  <si>
    <t>balance_CG_hist_xcg_ec</t>
  </si>
  <si>
    <t>balance_CG_hist_W_ec</t>
  </si>
  <si>
    <t>balance_CG_hist_xcg_epc</t>
  </si>
  <si>
    <t>balance_CG_hist_W_epc</t>
  </si>
  <si>
    <t>balance_CG_hist_xcg_efc</t>
  </si>
  <si>
    <t>balance_CG_hist_W_efc</t>
  </si>
  <si>
    <t>balance_CG_hist_xcg_efpc</t>
  </si>
  <si>
    <t>balance_CG_hist_W_efpc</t>
  </si>
  <si>
    <t>landing_gear_frac_nlg_fwd</t>
  </si>
  <si>
    <t>landing_gear_frac_nlg_aft</t>
  </si>
  <si>
    <t>landing_gear_alpha_tipback</t>
  </si>
  <si>
    <t>landing_gear_alpha_tailstrike</t>
  </si>
  <si>
    <t>landing_gear_phi_overturn</t>
  </si>
  <si>
    <t>Tomav Atual</t>
  </si>
  <si>
    <t>Pontuação</t>
  </si>
  <si>
    <t>Mínimo2</t>
  </si>
  <si>
    <t>Mínimo3</t>
  </si>
  <si>
    <t>Mínimo4</t>
  </si>
  <si>
    <t>Máximo5</t>
  </si>
  <si>
    <t>Máximo6</t>
  </si>
  <si>
    <t>Máximo7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</si>
</sst>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036909-E343-4594-AEE1-F455D2B6571A}" autoFormatId="16" applyNumberFormats="0" applyBorderFormats="0" applyFontFormats="0" applyPatternFormats="0" applyAlignmentFormats="0" applyWidthHeightFormats="0">
  <queryTableRefresh nextId="2">
    <queryTableFields count="1">
      <queryTableField id="1" name="GetPath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3AC2B3E-54D0-4520-85CB-2DE68582D71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674A16-2410-4BD6-B36C-6AAD354FBB7D}" name="GetPath" displayName="GetPath" ref="A1:A2" tableType="queryTable" totalsRowShown="0">
  <autoFilter ref="A1:A2" xr:uid="{E1674A16-2410-4BD6-B36C-6AAD354FBB7D}"/>
  <tableColumns count="1">
    <tableColumn id="1" xr3:uid="{F165931D-CE1C-40D3-858E-641D537E9A7E}" uniqueName="1" name="GetPath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2FDBA-9A17-4415-96CC-5F2702ABF5F3}" name="Table1" displayName="Table1" ref="A2:O21" totalsRowShown="0" headerRowDxfId="5">
  <autoFilter ref="A2:O21" xr:uid="{C0D2FDBA-9A17-4415-96CC-5F2702ABF5F3}"/>
  <sortState xmlns:xlrd2="http://schemas.microsoft.com/office/spreadsheetml/2017/richdata2" ref="A3:O21">
    <sortCondition ref="O2:O21"/>
  </sortState>
  <tableColumns count="15">
    <tableColumn id="1" xr3:uid="{A5E38B17-AF96-4355-BBF4-5B5FD54864ED}" name="Parâmetro" dataDxfId="4"/>
    <tableColumn id="2" xr3:uid="{C4E5A045-735E-46FF-8E55-8B478F5E8882}" name="Mínimo"/>
    <tableColumn id="3" xr3:uid="{A52DBEA2-E4D4-4061-85A9-E9DDC23815B0}" name="Mínimo2"/>
    <tableColumn id="4" xr3:uid="{F9C9231D-0839-4E16-933F-972B5736C858}" name="Mínimo3"/>
    <tableColumn id="5" xr3:uid="{325CA92B-50B3-4A52-9D11-7299B02B8159}" name="Mínimo4"/>
    <tableColumn id="6" xr3:uid="{1CE5CA84-4976-43E9-9FC2-E5D64E3B518A}" name="Máximo"/>
    <tableColumn id="7" xr3:uid="{1534D6B5-7B16-4CCA-9F5D-26CB5975DDFB}" name="Máximo5"/>
    <tableColumn id="8" xr3:uid="{EB107CD4-DB8A-40A0-939D-9E286BF817CD}" name="Máximo6"/>
    <tableColumn id="9" xr3:uid="{21175E87-4059-4805-B65F-7A87191F51F7}" name="Máximo7"/>
    <tableColumn id="10" xr3:uid="{16DBC274-FA28-4F6C-AAF6-4F3E30073E8A}" name="Tomav Atual" dataDxfId="3">
      <calculatedColumnFormula>IF(LEFT(A3,5)="sweep", _xlfn.XLOOKUP("inputs_"&amp;A3, tomav!$A$2:$A$222, tomav!$B$2:$B$222) * (180/PI()), _xlfn.XLOOKUP("inputs_"&amp;A3, tomav!$A$2:$A$222, tomav!$B$2:$B$222))</calculatedColumnFormula>
    </tableColumn>
    <tableColumn id="11" xr3:uid="{B0D5F5B8-ABF8-4A6D-8B22-2A94FBC1452B}" name="Pesquisa 1">
      <calculatedColumnFormula>IF(AND($J3&gt;=B3,$J3&lt;=F3),"OK","NÃO OK")</calculatedColumnFormula>
    </tableColumn>
    <tableColumn id="12" xr3:uid="{FFB6D9FA-C8EA-4F9C-B771-C9A790197620}" name="Pesquisa 2">
      <calculatedColumnFormula>IF(AND($J3&gt;=C3,$J3&lt;=G3),"OK","NÃO OK")</calculatedColumnFormula>
    </tableColumn>
    <tableColumn id="13" xr3:uid="{D6906068-7436-4BFD-9CD8-D243CB267BA5}" name="Pesquisa 3">
      <calculatedColumnFormula>IF(AND($J3&gt;=D3,$J3&lt;=H3),"OK","NÃO OK")</calculatedColumnFormula>
    </tableColumn>
    <tableColumn id="14" xr3:uid="{19617E90-10DA-4A23-A48A-033B633A911E}" name="Pesquisa 4">
      <calculatedColumnFormula>IF(AND($J3&gt;=E3,$J3&lt;=I3),"OK","NÃO OK")</calculatedColumnFormula>
    </tableColumn>
    <tableColumn id="15" xr3:uid="{2AEC224E-9944-481A-B8E8-9682753B41C5}" name="Pontuação" dataDxfId="2">
      <calculatedColumnFormula>EXACT(K3, "OK")+EXACT(L3, "OK")+EXACT(M3, "OK")+EXACT(N3, "OK")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91CD36-CE3B-44DE-9574-BAE867F90181}" name="tomav" displayName="tomav" ref="A1:B222" tableType="queryTable" totalsRowShown="0">
  <autoFilter ref="A1:B222" xr:uid="{CE91CD36-CE3B-44DE-9574-BAE867F90181}"/>
  <tableColumns count="2">
    <tableColumn id="1" xr3:uid="{13033DBA-8AB0-4B2F-AA3A-A08BC607393F}" uniqueName="1" name="Column1" queryTableFieldId="1" dataDxfId="0"/>
    <tableColumn id="2" xr3:uid="{160374B8-2BEE-46E0-AD17-CF8658465860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2A40-6D10-4581-B03C-72ED26DE4AE0}">
  <dimension ref="A1:A2"/>
  <sheetViews>
    <sheetView workbookViewId="0"/>
  </sheetViews>
  <sheetFormatPr defaultRowHeight="14.4" x14ac:dyDescent="0.3"/>
  <cols>
    <col min="1" max="1" width="40.5546875" bestFit="1" customWidth="1"/>
  </cols>
  <sheetData>
    <row r="1" spans="1:1" x14ac:dyDescent="0.3">
      <c r="A1" t="s">
        <v>28</v>
      </c>
    </row>
    <row r="2" spans="1:1" x14ac:dyDescent="0.3">
      <c r="A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ADC8-3F4F-4450-B0CA-1189C214E6EB}">
  <dimension ref="A1:O22"/>
  <sheetViews>
    <sheetView tabSelected="1" zoomScale="110" workbookViewId="0">
      <selection activeCell="Q6" sqref="Q6"/>
    </sheetView>
  </sheetViews>
  <sheetFormatPr defaultRowHeight="14.4" x14ac:dyDescent="0.3"/>
  <cols>
    <col min="1" max="1" width="12.109375" bestFit="1" customWidth="1"/>
    <col min="2" max="6" width="10" bestFit="1" customWidth="1"/>
    <col min="7" max="9" width="10.21875" customWidth="1"/>
    <col min="10" max="10" width="12.77734375" customWidth="1"/>
    <col min="11" max="15" width="11.6640625" customWidth="1"/>
  </cols>
  <sheetData>
    <row r="1" spans="1:15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t="str" cm="1">
        <f t="array" aca="1" ref="J1" ca="1">LEFT(CELL("filename",J1),FIND("[",CELL("filename",J1))-1)</f>
        <v>C:\Users\Tomaz\Documents\ITA\PRJ-22\Tomav\</v>
      </c>
    </row>
    <row r="2" spans="1:15" x14ac:dyDescent="0.3">
      <c r="A2" s="1" t="s">
        <v>0</v>
      </c>
      <c r="B2" s="1" t="s">
        <v>5</v>
      </c>
      <c r="C2" s="1" t="s">
        <v>253</v>
      </c>
      <c r="D2" s="1" t="s">
        <v>254</v>
      </c>
      <c r="E2" s="1" t="s">
        <v>255</v>
      </c>
      <c r="F2" s="1" t="s">
        <v>6</v>
      </c>
      <c r="G2" s="1" t="s">
        <v>256</v>
      </c>
      <c r="H2" s="1" t="s">
        <v>257</v>
      </c>
      <c r="I2" s="1" t="s">
        <v>258</v>
      </c>
      <c r="J2" s="1" t="s">
        <v>251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252</v>
      </c>
    </row>
    <row r="3" spans="1:15" x14ac:dyDescent="0.3">
      <c r="A3" s="1" t="s">
        <v>10</v>
      </c>
      <c r="B3">
        <v>0.12</v>
      </c>
      <c r="C3">
        <v>0.13</v>
      </c>
      <c r="D3">
        <v>0.11</v>
      </c>
      <c r="E3">
        <v>0.12</v>
      </c>
      <c r="F3">
        <v>0.16</v>
      </c>
      <c r="G3">
        <v>0.16</v>
      </c>
      <c r="H3">
        <v>0.16</v>
      </c>
      <c r="I3">
        <v>0.16</v>
      </c>
      <c r="J3" s="1">
        <f>IF(LEFT(A3,5)="sweep", _xlfn.XLOOKUP("inputs_"&amp;A3, tomav!$A$2:$A$222, tomav!$B$2:$B$222) * (180/PI()), _xlfn.XLOOKUP("inputs_"&amp;A3, tomav!$A$2:$A$222, tomav!$B$2:$B$222))</f>
        <v>0.17499999999999999</v>
      </c>
      <c r="K3" t="str">
        <f t="shared" ref="K3:K21" si="0">IF(AND($J3&gt;=B3,$J3&lt;=F3),"OK","NÃO OK")</f>
        <v>NÃO OK</v>
      </c>
      <c r="L3" t="str">
        <f t="shared" ref="L3:L21" si="1">IF(AND($J3&gt;=C3,$J3&lt;=G3),"OK","NÃO OK")</f>
        <v>NÃO OK</v>
      </c>
      <c r="M3" t="str">
        <f t="shared" ref="M3:M21" si="2">IF(AND($J3&gt;=D3,$J3&lt;=H3),"OK","NÃO OK")</f>
        <v>NÃO OK</v>
      </c>
      <c r="N3" t="str">
        <f t="shared" ref="N3:N21" si="3">IF(AND($J3&gt;=E3,$J3&lt;=I3),"OK","NÃO OK")</f>
        <v>NÃO OK</v>
      </c>
      <c r="O3" s="1">
        <f t="shared" ref="O3:O21" si="4">EXACT(K3, "OK")+EXACT(L3, "OK")+EXACT(M3, "OK")+EXACT(N3, "OK")</f>
        <v>0</v>
      </c>
    </row>
    <row r="4" spans="1:15" x14ac:dyDescent="0.3">
      <c r="A4" s="1" t="s">
        <v>12</v>
      </c>
      <c r="B4">
        <v>0.7</v>
      </c>
      <c r="C4">
        <v>0.9</v>
      </c>
      <c r="D4">
        <v>0.85</v>
      </c>
      <c r="E4">
        <v>0.9</v>
      </c>
      <c r="F4">
        <v>1.1499999999999999</v>
      </c>
      <c r="G4">
        <v>1.2</v>
      </c>
      <c r="H4">
        <v>1.2</v>
      </c>
      <c r="I4">
        <v>1.2</v>
      </c>
      <c r="J4" s="1">
        <f>IF(LEFT(A4,5)="sweep", _xlfn.XLOOKUP("inputs_"&amp;A4, tomav!$A$2:$A$222, tomav!$B$2:$B$222) * (180/PI()), _xlfn.XLOOKUP("inputs_"&amp;A4, tomav!$A$2:$A$222, tomav!$B$2:$B$222))</f>
        <v>0.85</v>
      </c>
      <c r="K4" t="str">
        <f t="shared" si="0"/>
        <v>OK</v>
      </c>
      <c r="L4" t="str">
        <f t="shared" si="1"/>
        <v>NÃO OK</v>
      </c>
      <c r="M4" t="str">
        <f t="shared" si="2"/>
        <v>OK</v>
      </c>
      <c r="N4" t="str">
        <f t="shared" si="3"/>
        <v>NÃO OK</v>
      </c>
      <c r="O4" s="1">
        <f t="shared" si="4"/>
        <v>2</v>
      </c>
    </row>
    <row r="5" spans="1:15" x14ac:dyDescent="0.3">
      <c r="A5" s="1" t="s">
        <v>13</v>
      </c>
      <c r="B5">
        <v>3.4</v>
      </c>
      <c r="C5">
        <v>3.5</v>
      </c>
      <c r="D5">
        <v>4</v>
      </c>
      <c r="E5">
        <v>3.4</v>
      </c>
      <c r="F5">
        <v>6.5</v>
      </c>
      <c r="G5">
        <v>5.5</v>
      </c>
      <c r="H5">
        <v>5.5</v>
      </c>
      <c r="I5">
        <v>6.1</v>
      </c>
      <c r="J5" s="1">
        <f>IF(LEFT(A5,5)="sweep", _xlfn.XLOOKUP("inputs_"&amp;A5, tomav!$A$2:$A$222, tomav!$B$2:$B$222) * (180/PI()), _xlfn.XLOOKUP("inputs_"&amp;A5, tomav!$A$2:$A$222, tomav!$B$2:$B$222))</f>
        <v>4</v>
      </c>
      <c r="K5" t="str">
        <f t="shared" si="0"/>
        <v>OK</v>
      </c>
      <c r="L5" t="str">
        <f t="shared" si="1"/>
        <v>OK</v>
      </c>
      <c r="M5" t="str">
        <f t="shared" si="2"/>
        <v>OK</v>
      </c>
      <c r="N5" t="str">
        <f t="shared" si="3"/>
        <v>OK</v>
      </c>
      <c r="O5" s="1">
        <f t="shared" si="4"/>
        <v>4</v>
      </c>
    </row>
    <row r="6" spans="1:15" x14ac:dyDescent="0.3">
      <c r="A6" s="1" t="s">
        <v>15</v>
      </c>
      <c r="B6">
        <v>30</v>
      </c>
      <c r="C6">
        <v>35</v>
      </c>
      <c r="D6">
        <v>30</v>
      </c>
      <c r="E6">
        <v>30</v>
      </c>
      <c r="F6">
        <v>45</v>
      </c>
      <c r="G6">
        <v>40</v>
      </c>
      <c r="H6">
        <v>40</v>
      </c>
      <c r="I6">
        <v>45</v>
      </c>
      <c r="J6" s="1">
        <f>IF(LEFT(A6,5)="sweep", _xlfn.XLOOKUP("inputs_"&amp;A6, tomav!$A$2:$A$222, tomav!$B$2:$B$222) * (180/PI()), _xlfn.XLOOKUP("inputs_"&amp;A6, tomav!$A$2:$A$222, tomav!$B$2:$B$222))</f>
        <v>40</v>
      </c>
      <c r="K6" t="str">
        <f t="shared" si="0"/>
        <v>OK</v>
      </c>
      <c r="L6" t="str">
        <f t="shared" si="1"/>
        <v>OK</v>
      </c>
      <c r="M6" t="str">
        <f t="shared" si="2"/>
        <v>OK</v>
      </c>
      <c r="N6" t="str">
        <f t="shared" si="3"/>
        <v>OK</v>
      </c>
      <c r="O6" s="1">
        <f t="shared" si="4"/>
        <v>4</v>
      </c>
    </row>
    <row r="7" spans="1:15" x14ac:dyDescent="0.3">
      <c r="A7" s="1" t="s">
        <v>20</v>
      </c>
      <c r="B7">
        <v>0.25</v>
      </c>
      <c r="C7">
        <v>0.3</v>
      </c>
      <c r="D7">
        <v>0.25</v>
      </c>
      <c r="E7">
        <v>0.3</v>
      </c>
      <c r="F7">
        <v>0.8</v>
      </c>
      <c r="G7">
        <v>0.75</v>
      </c>
      <c r="H7">
        <v>0.5</v>
      </c>
      <c r="I7">
        <v>0.6</v>
      </c>
      <c r="J7" s="1">
        <f>IF(LEFT(A7,5)="sweep", _xlfn.XLOOKUP("inputs_"&amp;A7, tomav!$A$2:$A$222, tomav!$B$2:$B$222) * (180/PI()), _xlfn.XLOOKUP("inputs_"&amp;A7, tomav!$A$2:$A$222, tomav!$B$2:$B$222))</f>
        <v>0.35</v>
      </c>
      <c r="K7" t="str">
        <f t="shared" si="0"/>
        <v>OK</v>
      </c>
      <c r="L7" t="str">
        <f t="shared" si="1"/>
        <v>OK</v>
      </c>
      <c r="M7" t="str">
        <f t="shared" si="2"/>
        <v>OK</v>
      </c>
      <c r="N7" t="str">
        <f t="shared" si="3"/>
        <v>OK</v>
      </c>
      <c r="O7" s="1">
        <f t="shared" si="4"/>
        <v>4</v>
      </c>
    </row>
    <row r="8" spans="1:15" x14ac:dyDescent="0.3">
      <c r="A8" s="1" t="s">
        <v>21</v>
      </c>
      <c r="B8">
        <v>35</v>
      </c>
      <c r="C8">
        <v>35</v>
      </c>
      <c r="D8">
        <v>35</v>
      </c>
      <c r="E8">
        <v>35</v>
      </c>
      <c r="F8">
        <v>55</v>
      </c>
      <c r="G8">
        <v>45</v>
      </c>
      <c r="H8">
        <v>45</v>
      </c>
      <c r="I8">
        <v>55</v>
      </c>
      <c r="J8" s="1">
        <f>IF(LEFT(A8,5)="sweep", _xlfn.XLOOKUP("inputs_"&amp;A8, tomav!$A$2:$A$222, tomav!$B$2:$B$222) * (180/PI()), _xlfn.XLOOKUP("inputs_"&amp;A8, tomav!$A$2:$A$222, tomav!$B$2:$B$222))</f>
        <v>42</v>
      </c>
      <c r="K8" t="str">
        <f t="shared" si="0"/>
        <v>OK</v>
      </c>
      <c r="L8" t="str">
        <f t="shared" si="1"/>
        <v>OK</v>
      </c>
      <c r="M8" t="str">
        <f t="shared" si="2"/>
        <v>OK</v>
      </c>
      <c r="N8" t="str">
        <f t="shared" si="3"/>
        <v>OK</v>
      </c>
      <c r="O8" s="1">
        <f t="shared" si="4"/>
        <v>4</v>
      </c>
    </row>
    <row r="9" spans="1:15" x14ac:dyDescent="0.3">
      <c r="A9" s="1" t="s">
        <v>22</v>
      </c>
      <c r="B9">
        <v>0.1</v>
      </c>
      <c r="C9">
        <v>0.1</v>
      </c>
      <c r="D9">
        <v>0.09</v>
      </c>
      <c r="E9">
        <v>0.09</v>
      </c>
      <c r="F9">
        <v>0.16</v>
      </c>
      <c r="G9">
        <v>0.12</v>
      </c>
      <c r="H9">
        <v>0.12</v>
      </c>
      <c r="I9">
        <v>0.12</v>
      </c>
      <c r="J9" s="1">
        <f>IF(LEFT(A9,5)="sweep", _xlfn.XLOOKUP("inputs_"&amp;A9, tomav!$A$2:$A$222, tomav!$B$2:$B$222) * (180/PI()), _xlfn.XLOOKUP("inputs_"&amp;A9, tomav!$A$2:$A$222, tomav!$B$2:$B$222))</f>
        <v>9.5000000000000001E-2</v>
      </c>
      <c r="K9" t="str">
        <f t="shared" si="0"/>
        <v>NÃO OK</v>
      </c>
      <c r="L9" t="str">
        <f t="shared" si="1"/>
        <v>NÃO OK</v>
      </c>
      <c r="M9" t="str">
        <f t="shared" si="2"/>
        <v>OK</v>
      </c>
      <c r="N9" t="str">
        <f t="shared" si="3"/>
        <v>OK</v>
      </c>
      <c r="O9" s="1">
        <f t="shared" si="4"/>
        <v>2</v>
      </c>
    </row>
    <row r="10" spans="1:15" x14ac:dyDescent="0.3">
      <c r="A10" s="1" t="s">
        <v>14</v>
      </c>
      <c r="B10">
        <v>0.25</v>
      </c>
      <c r="C10">
        <v>0.3</v>
      </c>
      <c r="D10">
        <v>0.2</v>
      </c>
      <c r="E10">
        <v>0.25</v>
      </c>
      <c r="F10">
        <v>0.65</v>
      </c>
      <c r="G10">
        <v>0.6</v>
      </c>
      <c r="H10">
        <v>0.4</v>
      </c>
      <c r="I10">
        <v>0.65</v>
      </c>
      <c r="J10" s="1">
        <f>IF(LEFT(A10,5)="sweep", _xlfn.XLOOKUP("inputs_"&amp;A10, tomav!$A$2:$A$222, tomav!$B$2:$B$222) * (180/PI()), _xlfn.XLOOKUP("inputs_"&amp;A10, tomav!$A$2:$A$222, tomav!$B$2:$B$222))</f>
        <v>0.35</v>
      </c>
      <c r="K10" t="str">
        <f t="shared" si="0"/>
        <v>OK</v>
      </c>
      <c r="L10" t="str">
        <f t="shared" si="1"/>
        <v>OK</v>
      </c>
      <c r="M10" t="str">
        <f t="shared" si="2"/>
        <v>OK</v>
      </c>
      <c r="N10" t="str">
        <f t="shared" si="3"/>
        <v>OK</v>
      </c>
      <c r="O10" s="1">
        <f t="shared" si="4"/>
        <v>4</v>
      </c>
    </row>
    <row r="11" spans="1:15" x14ac:dyDescent="0.3">
      <c r="A11" s="1" t="s">
        <v>19</v>
      </c>
      <c r="B11">
        <v>1.2</v>
      </c>
      <c r="C11">
        <v>1.2</v>
      </c>
      <c r="D11">
        <v>1</v>
      </c>
      <c r="E11">
        <v>1.3</v>
      </c>
      <c r="F11">
        <v>2.6</v>
      </c>
      <c r="G11">
        <v>2</v>
      </c>
      <c r="H11">
        <v>2</v>
      </c>
      <c r="I11">
        <v>2</v>
      </c>
      <c r="J11" s="1">
        <f>IF(LEFT(A11,5)="sweep", _xlfn.XLOOKUP("inputs_"&amp;A11, tomav!$A$2:$A$222, tomav!$B$2:$B$222) * (180/PI()), _xlfn.XLOOKUP("inputs_"&amp;A11, tomav!$A$2:$A$222, tomav!$B$2:$B$222))</f>
        <v>1.5</v>
      </c>
      <c r="K11" t="str">
        <f t="shared" si="0"/>
        <v>OK</v>
      </c>
      <c r="L11" t="str">
        <f t="shared" si="1"/>
        <v>OK</v>
      </c>
      <c r="M11" t="str">
        <f t="shared" si="2"/>
        <v>OK</v>
      </c>
      <c r="N11" t="str">
        <f t="shared" si="3"/>
        <v>OK</v>
      </c>
      <c r="O11" s="1">
        <f t="shared" si="4"/>
        <v>4</v>
      </c>
    </row>
    <row r="12" spans="1:15" x14ac:dyDescent="0.3">
      <c r="A12" s="1" t="s">
        <v>7</v>
      </c>
      <c r="B12">
        <v>6.9</v>
      </c>
      <c r="C12">
        <v>8</v>
      </c>
      <c r="D12">
        <v>7</v>
      </c>
      <c r="E12">
        <v>7</v>
      </c>
      <c r="F12">
        <v>11</v>
      </c>
      <c r="G12">
        <v>12</v>
      </c>
      <c r="H12">
        <v>11</v>
      </c>
      <c r="I12">
        <v>11</v>
      </c>
      <c r="J12" s="1">
        <f>IF(LEFT(A12,5)="sweep", _xlfn.XLOOKUP("inputs_"&amp;A12, tomav!$A$2:$A$222, tomav!$B$2:$B$222) * (180/PI()), _xlfn.XLOOKUP("inputs_"&amp;A12, tomav!$A$2:$A$222, tomav!$B$2:$B$222))</f>
        <v>10.5</v>
      </c>
      <c r="K12" t="str">
        <f t="shared" si="0"/>
        <v>OK</v>
      </c>
      <c r="L12" t="str">
        <f t="shared" si="1"/>
        <v>OK</v>
      </c>
      <c r="M12" t="str">
        <f t="shared" si="2"/>
        <v>OK</v>
      </c>
      <c r="N12" t="str">
        <f t="shared" si="3"/>
        <v>OK</v>
      </c>
      <c r="O12" s="1">
        <f t="shared" si="4"/>
        <v>4</v>
      </c>
    </row>
    <row r="13" spans="1:15" x14ac:dyDescent="0.3">
      <c r="A13" s="1" t="s">
        <v>8</v>
      </c>
      <c r="B13">
        <v>0.15</v>
      </c>
      <c r="C13">
        <v>0.14000000000000001</v>
      </c>
      <c r="D13">
        <v>0.14000000000000001</v>
      </c>
      <c r="E13">
        <v>0.15</v>
      </c>
      <c r="F13">
        <v>0.35</v>
      </c>
      <c r="G13">
        <v>0.3</v>
      </c>
      <c r="H13">
        <v>0.35</v>
      </c>
      <c r="I13">
        <v>0.35</v>
      </c>
      <c r="J13" s="1">
        <f>IF(LEFT(A13,5)="sweep", _xlfn.XLOOKUP("inputs_"&amp;A13, tomav!$A$2:$A$222, tomav!$B$2:$B$222) * (180/PI()), _xlfn.XLOOKUP("inputs_"&amp;A13, tomav!$A$2:$A$222, tomav!$B$2:$B$222))</f>
        <v>0.17</v>
      </c>
      <c r="K13" t="str">
        <f t="shared" si="0"/>
        <v>OK</v>
      </c>
      <c r="L13" t="str">
        <f t="shared" si="1"/>
        <v>OK</v>
      </c>
      <c r="M13" t="str">
        <f t="shared" si="2"/>
        <v>OK</v>
      </c>
      <c r="N13" t="str">
        <f t="shared" si="3"/>
        <v>OK</v>
      </c>
      <c r="O13" s="1">
        <f t="shared" si="4"/>
        <v>4</v>
      </c>
    </row>
    <row r="14" spans="1:15" x14ac:dyDescent="0.3">
      <c r="A14" s="1" t="s">
        <v>9</v>
      </c>
      <c r="B14">
        <v>28</v>
      </c>
      <c r="C14">
        <v>28</v>
      </c>
      <c r="D14">
        <v>25</v>
      </c>
      <c r="E14">
        <v>25</v>
      </c>
      <c r="F14">
        <v>38</v>
      </c>
      <c r="G14">
        <v>35</v>
      </c>
      <c r="H14">
        <v>38</v>
      </c>
      <c r="I14">
        <v>40</v>
      </c>
      <c r="J14" s="1">
        <f>IF(LEFT(A14,5)="sweep", _xlfn.XLOOKUP("inputs_"&amp;A14, tomav!$A$2:$A$222, tomav!$B$2:$B$222) * (180/PI()), _xlfn.XLOOKUP("inputs_"&amp;A14, tomav!$A$2:$A$222, tomav!$B$2:$B$222))</f>
        <v>35.049999999999997</v>
      </c>
      <c r="K14" t="str">
        <f t="shared" si="0"/>
        <v>OK</v>
      </c>
      <c r="L14" t="str">
        <f t="shared" si="1"/>
        <v>NÃO OK</v>
      </c>
      <c r="M14" t="str">
        <f t="shared" si="2"/>
        <v>OK</v>
      </c>
      <c r="N14" t="str">
        <f t="shared" si="3"/>
        <v>OK</v>
      </c>
      <c r="O14" s="1">
        <f t="shared" si="4"/>
        <v>3</v>
      </c>
    </row>
    <row r="15" spans="1:15" x14ac:dyDescent="0.3">
      <c r="A15" s="1" t="s">
        <v>11</v>
      </c>
      <c r="B15">
        <v>0.08</v>
      </c>
      <c r="C15">
        <v>0.08</v>
      </c>
      <c r="D15">
        <v>0.08</v>
      </c>
      <c r="E15">
        <v>0.08</v>
      </c>
      <c r="F15">
        <v>0.12</v>
      </c>
      <c r="G15">
        <v>0.11</v>
      </c>
      <c r="H15">
        <v>0.11</v>
      </c>
      <c r="I15">
        <v>0.1</v>
      </c>
      <c r="J15" s="1">
        <f>IF(LEFT(A15,5)="sweep", _xlfn.XLOOKUP("inputs_"&amp;A15, tomav!$A$2:$A$222, tomav!$B$2:$B$222) * (180/PI()), _xlfn.XLOOKUP("inputs_"&amp;A15, tomav!$A$2:$A$222, tomav!$B$2:$B$222))</f>
        <v>0.08</v>
      </c>
      <c r="K15" t="str">
        <f t="shared" si="0"/>
        <v>OK</v>
      </c>
      <c r="L15" t="str">
        <f t="shared" si="1"/>
        <v>OK</v>
      </c>
      <c r="M15" t="str">
        <f t="shared" si="2"/>
        <v>OK</v>
      </c>
      <c r="N15" t="str">
        <f t="shared" si="3"/>
        <v>OK</v>
      </c>
      <c r="O15" s="1">
        <f t="shared" si="4"/>
        <v>4</v>
      </c>
    </row>
    <row r="16" spans="1:15" x14ac:dyDescent="0.3">
      <c r="A16" s="1" t="s">
        <v>16</v>
      </c>
      <c r="B16">
        <v>0.09</v>
      </c>
      <c r="C16">
        <v>0.09</v>
      </c>
      <c r="D16">
        <v>0.09</v>
      </c>
      <c r="E16">
        <v>0.09</v>
      </c>
      <c r="F16">
        <v>0.12</v>
      </c>
      <c r="G16">
        <v>0.12</v>
      </c>
      <c r="H16">
        <v>0.12</v>
      </c>
      <c r="I16">
        <v>0.12</v>
      </c>
      <c r="J16" s="1">
        <f>IF(LEFT(A16,5)="sweep", _xlfn.XLOOKUP("inputs_"&amp;A16, tomav!$A$2:$A$222, tomav!$B$2:$B$222) * (180/PI()), _xlfn.XLOOKUP("inputs_"&amp;A16, tomav!$A$2:$A$222, tomav!$B$2:$B$222))</f>
        <v>0.09</v>
      </c>
      <c r="K16" t="str">
        <f t="shared" si="0"/>
        <v>OK</v>
      </c>
      <c r="L16" t="str">
        <f t="shared" si="1"/>
        <v>OK</v>
      </c>
      <c r="M16" t="str">
        <f t="shared" si="2"/>
        <v>OK</v>
      </c>
      <c r="N16" t="str">
        <f t="shared" si="3"/>
        <v>OK</v>
      </c>
      <c r="O16" s="1">
        <f t="shared" si="4"/>
        <v>4</v>
      </c>
    </row>
    <row r="17" spans="1:15" x14ac:dyDescent="0.3">
      <c r="A17" s="1" t="s">
        <v>17</v>
      </c>
      <c r="B17">
        <v>0.08</v>
      </c>
      <c r="C17">
        <v>0.08</v>
      </c>
      <c r="D17">
        <v>0.08</v>
      </c>
      <c r="E17">
        <v>0.08</v>
      </c>
      <c r="F17">
        <v>0.1</v>
      </c>
      <c r="G17">
        <v>0.1</v>
      </c>
      <c r="H17">
        <v>0.11</v>
      </c>
      <c r="I17">
        <v>0.1</v>
      </c>
      <c r="J17" s="1">
        <f>IF(LEFT(A17,5)="sweep", _xlfn.XLOOKUP("inputs_"&amp;A17, tomav!$A$2:$A$222, tomav!$B$2:$B$222) * (180/PI()), _xlfn.XLOOKUP("inputs_"&amp;A17, tomav!$A$2:$A$222, tomav!$B$2:$B$222))</f>
        <v>0.08</v>
      </c>
      <c r="K17" t="str">
        <f t="shared" si="0"/>
        <v>OK</v>
      </c>
      <c r="L17" t="str">
        <f t="shared" si="1"/>
        <v>OK</v>
      </c>
      <c r="M17" t="str">
        <f t="shared" si="2"/>
        <v>OK</v>
      </c>
      <c r="N17" t="str">
        <f t="shared" si="3"/>
        <v>OK</v>
      </c>
      <c r="O17" s="1">
        <f t="shared" si="4"/>
        <v>4</v>
      </c>
    </row>
    <row r="18" spans="1:15" x14ac:dyDescent="0.3">
      <c r="A18" s="1" t="s">
        <v>18</v>
      </c>
      <c r="B18">
        <v>0.06</v>
      </c>
      <c r="C18">
        <v>7.0000000000000007E-2</v>
      </c>
      <c r="D18">
        <v>0.04</v>
      </c>
      <c r="E18">
        <v>7.0000000000000007E-2</v>
      </c>
      <c r="F18">
        <v>0.12</v>
      </c>
      <c r="G18">
        <v>0.1</v>
      </c>
      <c r="H18">
        <v>0.12</v>
      </c>
      <c r="I18">
        <v>0.1</v>
      </c>
      <c r="J18" s="1">
        <f>IF(LEFT(A18,5)="sweep", _xlfn.XLOOKUP("inputs_"&amp;A18, tomav!$A$2:$A$222, tomav!$B$2:$B$222) * (180/PI()), _xlfn.XLOOKUP("inputs_"&amp;A18, tomav!$A$2:$A$222, tomav!$B$2:$B$222))</f>
        <v>7.4999999999999997E-2</v>
      </c>
      <c r="K18" t="str">
        <f t="shared" si="0"/>
        <v>OK</v>
      </c>
      <c r="L18" t="str">
        <f t="shared" si="1"/>
        <v>OK</v>
      </c>
      <c r="M18" t="str">
        <f t="shared" si="2"/>
        <v>OK</v>
      </c>
      <c r="N18" t="str">
        <f t="shared" si="3"/>
        <v>OK</v>
      </c>
      <c r="O18" s="1">
        <f t="shared" si="4"/>
        <v>4</v>
      </c>
    </row>
    <row r="19" spans="1:15" x14ac:dyDescent="0.3">
      <c r="A19" s="1" t="s">
        <v>23</v>
      </c>
      <c r="B19">
        <v>0.08</v>
      </c>
      <c r="C19">
        <v>0.08</v>
      </c>
      <c r="D19">
        <v>0.08</v>
      </c>
      <c r="E19">
        <v>0.08</v>
      </c>
      <c r="F19">
        <v>0.12</v>
      </c>
      <c r="G19">
        <v>0.1</v>
      </c>
      <c r="H19">
        <v>0.11</v>
      </c>
      <c r="I19">
        <v>0.1</v>
      </c>
      <c r="J19" s="1">
        <f>IF(LEFT(A19,5)="sweep", _xlfn.XLOOKUP("inputs_"&amp;A19, tomav!$A$2:$A$222, tomav!$B$2:$B$222) * (180/PI()), _xlfn.XLOOKUP("inputs_"&amp;A19, tomav!$A$2:$A$222, tomav!$B$2:$B$222))</f>
        <v>0.08</v>
      </c>
      <c r="K19" t="str">
        <f t="shared" si="0"/>
        <v>OK</v>
      </c>
      <c r="L19" t="str">
        <f t="shared" si="1"/>
        <v>OK</v>
      </c>
      <c r="M19" t="str">
        <f t="shared" si="2"/>
        <v>OK</v>
      </c>
      <c r="N19" t="str">
        <f t="shared" si="3"/>
        <v>OK</v>
      </c>
      <c r="O19" s="1">
        <f t="shared" si="4"/>
        <v>4</v>
      </c>
    </row>
    <row r="20" spans="1:15" x14ac:dyDescent="0.3">
      <c r="A20" s="1" t="s">
        <v>24</v>
      </c>
      <c r="B20">
        <v>0.15</v>
      </c>
      <c r="C20">
        <v>0.2</v>
      </c>
      <c r="D20">
        <v>0.2</v>
      </c>
      <c r="E20">
        <v>0.15</v>
      </c>
      <c r="F20">
        <v>0.35</v>
      </c>
      <c r="G20">
        <v>0.35</v>
      </c>
      <c r="H20">
        <v>0.35</v>
      </c>
      <c r="I20">
        <v>0.3</v>
      </c>
      <c r="J20" s="1">
        <f>IF(LEFT(A20,5)="sweep", _xlfn.XLOOKUP("inputs_"&amp;A20, tomav!$A$2:$A$222, tomav!$B$2:$B$222) * (180/PI()), _xlfn.XLOOKUP("inputs_"&amp;A20, tomav!$A$2:$A$222, tomav!$B$2:$B$222))</f>
        <v>0.33</v>
      </c>
      <c r="K20" t="str">
        <f t="shared" si="0"/>
        <v>OK</v>
      </c>
      <c r="L20" t="str">
        <f t="shared" si="1"/>
        <v>OK</v>
      </c>
      <c r="M20" t="str">
        <f t="shared" si="2"/>
        <v>OK</v>
      </c>
      <c r="N20" t="str">
        <f t="shared" si="3"/>
        <v>NÃO OK</v>
      </c>
      <c r="O20" s="1">
        <f t="shared" si="4"/>
        <v>3</v>
      </c>
    </row>
    <row r="21" spans="1:15" x14ac:dyDescent="0.3">
      <c r="A21" s="1" t="s">
        <v>25</v>
      </c>
      <c r="B21">
        <v>0.6</v>
      </c>
      <c r="C21">
        <v>0.55000000000000004</v>
      </c>
      <c r="D21">
        <v>0.55000000000000004</v>
      </c>
      <c r="E21">
        <v>0.5</v>
      </c>
      <c r="F21">
        <v>0.85</v>
      </c>
      <c r="G21">
        <v>0.75</v>
      </c>
      <c r="H21">
        <v>0.75</v>
      </c>
      <c r="I21">
        <v>0.8</v>
      </c>
      <c r="J21" s="1">
        <f>IF(LEFT(A21,5)="sweep", _xlfn.XLOOKUP("inputs_"&amp;A21, tomav!$A$2:$A$222, tomav!$B$2:$B$222) * (180/PI()), _xlfn.XLOOKUP("inputs_"&amp;A21, tomav!$A$2:$A$222, tomav!$B$2:$B$222))</f>
        <v>0.63</v>
      </c>
      <c r="K21" t="str">
        <f t="shared" si="0"/>
        <v>OK</v>
      </c>
      <c r="L21" t="str">
        <f t="shared" si="1"/>
        <v>OK</v>
      </c>
      <c r="M21" t="str">
        <f t="shared" si="2"/>
        <v>OK</v>
      </c>
      <c r="N21" t="str">
        <f t="shared" si="3"/>
        <v>OK</v>
      </c>
      <c r="O21" s="1">
        <f t="shared" si="4"/>
        <v>4</v>
      </c>
    </row>
    <row r="22" spans="1:15" x14ac:dyDescent="0.3">
      <c r="A22" s="1"/>
    </row>
  </sheetData>
  <conditionalFormatting sqref="B2:I3 K2:N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N2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expression" priority="1">
      <formula>EXACT(A1,"OK")</formula>
    </cfRule>
    <cfRule type="expression" priority="2">
      <formula>EXACT(K3,"OK")</formula>
    </cfRule>
  </conditionalFormatting>
  <conditionalFormatting sqref="K3:N21">
    <cfRule type="expression" priority="3">
      <formula>EXACT($K$3,"OK")</formula>
    </cfRule>
    <cfRule type="expression" priority="4">
      <formula>EXACT(A1, "OK")</formula>
    </cfRule>
  </conditionalFormatting>
  <conditionalFormatting sqref="O3:O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0C72-4DE5-4FCA-993D-14C71339377E}">
  <dimension ref="A1:B222"/>
  <sheetViews>
    <sheetView workbookViewId="0"/>
  </sheetViews>
  <sheetFormatPr defaultRowHeight="14.4" x14ac:dyDescent="0.3"/>
  <cols>
    <col min="1" max="1" width="34.5546875" bestFit="1" customWidth="1"/>
    <col min="2" max="2" width="12.6640625" bestFit="1" customWidth="1"/>
  </cols>
  <sheetData>
    <row r="1" spans="1:2" x14ac:dyDescent="0.3">
      <c r="A1" t="s">
        <v>26</v>
      </c>
      <c r="B1" t="s">
        <v>29</v>
      </c>
    </row>
    <row r="2" spans="1:2" x14ac:dyDescent="0.3">
      <c r="A2" t="s">
        <v>30</v>
      </c>
      <c r="B2">
        <v>-5.0999999999999996</v>
      </c>
    </row>
    <row r="3" spans="1:2" x14ac:dyDescent="0.3">
      <c r="A3" t="s">
        <v>31</v>
      </c>
    </row>
    <row r="4" spans="1:2" x14ac:dyDescent="0.3">
      <c r="A4" t="s">
        <v>32</v>
      </c>
      <c r="B4">
        <v>300</v>
      </c>
    </row>
    <row r="5" spans="1:2" x14ac:dyDescent="0.3">
      <c r="A5" t="s">
        <v>33</v>
      </c>
      <c r="B5">
        <v>10.5</v>
      </c>
    </row>
    <row r="6" spans="1:2" x14ac:dyDescent="0.3">
      <c r="A6" t="s">
        <v>34</v>
      </c>
      <c r="B6">
        <v>0.17</v>
      </c>
    </row>
    <row r="7" spans="1:2" x14ac:dyDescent="0.3">
      <c r="A7" t="s">
        <v>35</v>
      </c>
      <c r="B7">
        <v>0.61173790282401241</v>
      </c>
    </row>
    <row r="8" spans="1:2" x14ac:dyDescent="0.3">
      <c r="A8" t="s">
        <v>36</v>
      </c>
      <c r="B8">
        <v>8.7266462599716474E-2</v>
      </c>
    </row>
    <row r="9" spans="1:2" x14ac:dyDescent="0.3">
      <c r="A9" t="s">
        <v>37</v>
      </c>
      <c r="B9">
        <v>16.899999999999999</v>
      </c>
    </row>
    <row r="10" spans="1:2" x14ac:dyDescent="0.3">
      <c r="A10" t="s">
        <v>38</v>
      </c>
      <c r="B10">
        <v>-1.85</v>
      </c>
    </row>
    <row r="11" spans="1:2" x14ac:dyDescent="0.3">
      <c r="A11" t="s">
        <v>39</v>
      </c>
      <c r="B11">
        <v>0.17499999999999999</v>
      </c>
    </row>
    <row r="12" spans="1:2" x14ac:dyDescent="0.3">
      <c r="A12" t="s">
        <v>40</v>
      </c>
      <c r="B12">
        <v>0.08</v>
      </c>
    </row>
    <row r="13" spans="1:2" x14ac:dyDescent="0.3">
      <c r="A13" t="s">
        <v>41</v>
      </c>
      <c r="B13">
        <v>0.85</v>
      </c>
    </row>
    <row r="14" spans="1:2" x14ac:dyDescent="0.3">
      <c r="A14" t="s">
        <v>42</v>
      </c>
      <c r="B14">
        <v>4.2825459507194843</v>
      </c>
    </row>
    <row r="15" spans="1:2" x14ac:dyDescent="0.3">
      <c r="A15" t="s">
        <v>43</v>
      </c>
      <c r="B15">
        <v>4</v>
      </c>
    </row>
    <row r="16" spans="1:2" x14ac:dyDescent="0.3">
      <c r="A16" t="s">
        <v>44</v>
      </c>
      <c r="B16">
        <v>0.35</v>
      </c>
    </row>
    <row r="17" spans="1:2" x14ac:dyDescent="0.3">
      <c r="A17" t="s">
        <v>45</v>
      </c>
      <c r="B17">
        <v>0.69813170079773179</v>
      </c>
    </row>
    <row r="18" spans="1:2" x14ac:dyDescent="0.3">
      <c r="A18" t="s">
        <v>46</v>
      </c>
      <c r="B18">
        <v>0.10471975511965977</v>
      </c>
    </row>
    <row r="19" spans="1:2" x14ac:dyDescent="0.3">
      <c r="A19" t="s">
        <v>47</v>
      </c>
      <c r="B19">
        <v>1.9350000000000001</v>
      </c>
    </row>
    <row r="20" spans="1:2" x14ac:dyDescent="0.3">
      <c r="A20" t="s">
        <v>48</v>
      </c>
      <c r="B20">
        <v>0.09</v>
      </c>
    </row>
    <row r="21" spans="1:2" x14ac:dyDescent="0.3">
      <c r="A21" t="s">
        <v>49</v>
      </c>
      <c r="B21">
        <v>0.08</v>
      </c>
    </row>
    <row r="22" spans="1:2" x14ac:dyDescent="0.3">
      <c r="A22" t="s">
        <v>50</v>
      </c>
      <c r="B22">
        <v>0.9</v>
      </c>
    </row>
    <row r="23" spans="1:2" x14ac:dyDescent="0.3">
      <c r="A23" t="s">
        <v>51</v>
      </c>
      <c r="B23">
        <v>7.4999999999999997E-2</v>
      </c>
    </row>
    <row r="24" spans="1:2" x14ac:dyDescent="0.3">
      <c r="A24" t="s">
        <v>52</v>
      </c>
      <c r="B24">
        <v>0.43862723941654119</v>
      </c>
    </row>
    <row r="25" spans="1:2" x14ac:dyDescent="0.3">
      <c r="A25" t="s">
        <v>53</v>
      </c>
      <c r="B25">
        <v>1.5</v>
      </c>
    </row>
    <row r="26" spans="1:2" x14ac:dyDescent="0.3">
      <c r="A26" t="s">
        <v>54</v>
      </c>
      <c r="B26">
        <v>0.35</v>
      </c>
    </row>
    <row r="27" spans="1:2" x14ac:dyDescent="0.3">
      <c r="A27" t="s">
        <v>55</v>
      </c>
      <c r="B27">
        <v>0.73303828583761843</v>
      </c>
    </row>
    <row r="28" spans="1:2" x14ac:dyDescent="0.3">
      <c r="A28" t="s">
        <v>56</v>
      </c>
      <c r="B28">
        <v>2.9350000000000001</v>
      </c>
    </row>
    <row r="29" spans="1:2" x14ac:dyDescent="0.3">
      <c r="A29" t="s">
        <v>57</v>
      </c>
      <c r="B29">
        <v>9.5000000000000001E-2</v>
      </c>
    </row>
    <row r="30" spans="1:2" x14ac:dyDescent="0.3">
      <c r="A30" t="s">
        <v>58</v>
      </c>
      <c r="B30">
        <v>0.08</v>
      </c>
    </row>
    <row r="31" spans="1:2" x14ac:dyDescent="0.3">
      <c r="A31" t="s">
        <v>59</v>
      </c>
      <c r="B31">
        <v>58</v>
      </c>
    </row>
    <row r="32" spans="1:2" x14ac:dyDescent="0.3">
      <c r="A32" t="s">
        <v>60</v>
      </c>
      <c r="B32">
        <v>5.87</v>
      </c>
    </row>
    <row r="33" spans="1:2" x14ac:dyDescent="0.3">
      <c r="A33" t="s">
        <v>61</v>
      </c>
      <c r="B33">
        <v>19.200000000000003</v>
      </c>
    </row>
    <row r="34" spans="1:2" x14ac:dyDescent="0.3">
      <c r="A34" t="s">
        <v>62</v>
      </c>
      <c r="B34">
        <v>10.5</v>
      </c>
    </row>
    <row r="35" spans="1:2" x14ac:dyDescent="0.3">
      <c r="A35" t="s">
        <v>63</v>
      </c>
      <c r="B35">
        <v>-3.0750000000000002</v>
      </c>
    </row>
    <row r="36" spans="1:2" x14ac:dyDescent="0.3">
      <c r="A36" t="s">
        <v>64</v>
      </c>
      <c r="B36">
        <v>5.8</v>
      </c>
    </row>
    <row r="37" spans="1:2" x14ac:dyDescent="0.3">
      <c r="A37" t="s">
        <v>65</v>
      </c>
      <c r="B37">
        <v>3.5</v>
      </c>
    </row>
    <row r="38" spans="1:2" x14ac:dyDescent="0.3">
      <c r="A38" t="s">
        <v>66</v>
      </c>
      <c r="B38">
        <v>2</v>
      </c>
    </row>
    <row r="39" spans="1:2" x14ac:dyDescent="0.3">
      <c r="A39" t="s">
        <v>67</v>
      </c>
      <c r="B39">
        <v>2</v>
      </c>
    </row>
    <row r="40" spans="1:2" x14ac:dyDescent="0.3">
      <c r="A40" t="s">
        <v>68</v>
      </c>
      <c r="B40">
        <v>6</v>
      </c>
    </row>
    <row r="41" spans="1:2" x14ac:dyDescent="0.3">
      <c r="A41" t="s">
        <v>69</v>
      </c>
      <c r="B41">
        <v>28.120458853016029</v>
      </c>
    </row>
    <row r="42" spans="1:2" x14ac:dyDescent="0.3">
      <c r="A42" t="s">
        <v>70</v>
      </c>
      <c r="B42">
        <v>5.5</v>
      </c>
    </row>
    <row r="43" spans="1:2" x14ac:dyDescent="0.3">
      <c r="A43" t="s">
        <v>71</v>
      </c>
      <c r="B43">
        <v>-5.585</v>
      </c>
    </row>
    <row r="44" spans="1:2" x14ac:dyDescent="0.3">
      <c r="A44" t="s">
        <v>72</v>
      </c>
      <c r="B44">
        <v>42.68</v>
      </c>
    </row>
    <row r="45" spans="1:2" x14ac:dyDescent="0.3">
      <c r="A45" t="s">
        <v>73</v>
      </c>
      <c r="B45">
        <v>-2.9350000000000001</v>
      </c>
    </row>
    <row r="46" spans="1:2" x14ac:dyDescent="0.3">
      <c r="A46" t="s">
        <v>75</v>
      </c>
      <c r="B46">
        <v>0.14000000000000001</v>
      </c>
    </row>
    <row r="47" spans="1:2" x14ac:dyDescent="0.3">
      <c r="A47" t="s">
        <v>74</v>
      </c>
      <c r="B47">
        <v>0.49999999999999989</v>
      </c>
    </row>
    <row r="48" spans="1:2" x14ac:dyDescent="0.3">
      <c r="A48" t="s">
        <v>76</v>
      </c>
      <c r="B48">
        <v>0</v>
      </c>
    </row>
    <row r="49" spans="1:2" x14ac:dyDescent="0.3">
      <c r="A49" t="s">
        <v>77</v>
      </c>
      <c r="B49">
        <v>0.85</v>
      </c>
    </row>
    <row r="50" spans="1:2" x14ac:dyDescent="0.3">
      <c r="A50" t="s">
        <v>78</v>
      </c>
      <c r="B50">
        <v>1.8</v>
      </c>
    </row>
    <row r="51" spans="1:2" x14ac:dyDescent="0.3">
      <c r="A51" t="s">
        <v>79</v>
      </c>
      <c r="B51">
        <v>0.95</v>
      </c>
    </row>
    <row r="52" spans="1:2" x14ac:dyDescent="0.3">
      <c r="A52" t="s">
        <v>80</v>
      </c>
    </row>
    <row r="53" spans="1:2" x14ac:dyDescent="0.3">
      <c r="A53" t="s">
        <v>81</v>
      </c>
    </row>
    <row r="54" spans="1:2" x14ac:dyDescent="0.3">
      <c r="A54" t="s">
        <v>82</v>
      </c>
      <c r="B54">
        <v>0.33</v>
      </c>
    </row>
    <row r="55" spans="1:2" x14ac:dyDescent="0.3">
      <c r="A55" t="s">
        <v>83</v>
      </c>
      <c r="B55">
        <v>0.63</v>
      </c>
    </row>
    <row r="56" spans="1:2" x14ac:dyDescent="0.3">
      <c r="A56" t="s">
        <v>84</v>
      </c>
      <c r="B56">
        <v>0</v>
      </c>
    </row>
    <row r="57" spans="1:2" x14ac:dyDescent="0.3">
      <c r="A57" t="s">
        <v>85</v>
      </c>
      <c r="B57">
        <v>0</v>
      </c>
    </row>
    <row r="58" spans="1:2" x14ac:dyDescent="0.3">
      <c r="A58" t="s">
        <v>86</v>
      </c>
      <c r="B58">
        <v>0.3</v>
      </c>
    </row>
    <row r="59" spans="1:2" x14ac:dyDescent="0.3">
      <c r="A59" t="s">
        <v>87</v>
      </c>
      <c r="B59">
        <v>0.32</v>
      </c>
    </row>
    <row r="60" spans="1:2" x14ac:dyDescent="0.3">
      <c r="A60" t="s">
        <v>88</v>
      </c>
      <c r="B60">
        <v>10.668000000000001</v>
      </c>
    </row>
    <row r="61" spans="1:2" x14ac:dyDescent="0.3">
      <c r="A61" t="s">
        <v>89</v>
      </c>
      <c r="B61">
        <v>0.03</v>
      </c>
    </row>
    <row r="62" spans="1:2" x14ac:dyDescent="0.3">
      <c r="A62" t="s">
        <v>90</v>
      </c>
    </row>
    <row r="63" spans="1:2" x14ac:dyDescent="0.3">
      <c r="A63" t="s">
        <v>91</v>
      </c>
      <c r="B63">
        <v>0</v>
      </c>
    </row>
    <row r="64" spans="1:2" x14ac:dyDescent="0.3">
      <c r="A64" t="s">
        <v>92</v>
      </c>
      <c r="B64">
        <v>2900</v>
      </c>
    </row>
    <row r="65" spans="1:2" x14ac:dyDescent="0.3">
      <c r="A65" t="s">
        <v>93</v>
      </c>
      <c r="B65">
        <v>0</v>
      </c>
    </row>
    <row r="66" spans="1:2" x14ac:dyDescent="0.3">
      <c r="A66" t="s">
        <v>94</v>
      </c>
      <c r="B66">
        <v>0</v>
      </c>
    </row>
    <row r="67" spans="1:2" x14ac:dyDescent="0.3">
      <c r="A67" t="s">
        <v>95</v>
      </c>
      <c r="B67">
        <v>2900</v>
      </c>
    </row>
    <row r="68" spans="1:2" x14ac:dyDescent="0.3">
      <c r="A68" t="s">
        <v>96</v>
      </c>
      <c r="B68">
        <v>0</v>
      </c>
    </row>
    <row r="69" spans="1:2" x14ac:dyDescent="0.3">
      <c r="A69" t="s">
        <v>97</v>
      </c>
      <c r="B69">
        <v>0.73928571428571432</v>
      </c>
    </row>
    <row r="70" spans="1:2" x14ac:dyDescent="0.3">
      <c r="A70" t="s">
        <v>98</v>
      </c>
      <c r="B70">
        <v>9875.52</v>
      </c>
    </row>
    <row r="71" spans="1:2" x14ac:dyDescent="0.3">
      <c r="A71" t="s">
        <v>99</v>
      </c>
      <c r="B71">
        <v>0.85</v>
      </c>
    </row>
    <row r="72" spans="1:2" x14ac:dyDescent="0.3">
      <c r="A72" t="s">
        <v>100</v>
      </c>
      <c r="B72">
        <v>14816000</v>
      </c>
    </row>
    <row r="73" spans="1:2" x14ac:dyDescent="0.3">
      <c r="A73" t="s">
        <v>101</v>
      </c>
      <c r="B73">
        <v>9448.8000000000011</v>
      </c>
    </row>
    <row r="74" spans="1:2" x14ac:dyDescent="0.3">
      <c r="A74" t="s">
        <v>102</v>
      </c>
      <c r="B74">
        <v>0.9</v>
      </c>
    </row>
    <row r="75" spans="1:2" x14ac:dyDescent="0.3">
      <c r="A75" t="s">
        <v>103</v>
      </c>
      <c r="B75">
        <v>2700</v>
      </c>
    </row>
    <row r="76" spans="1:2" x14ac:dyDescent="0.3">
      <c r="A76" t="s">
        <v>104</v>
      </c>
      <c r="B76">
        <v>457.20000000000005</v>
      </c>
    </row>
    <row r="77" spans="1:2" x14ac:dyDescent="0.3">
      <c r="A77" t="s">
        <v>105</v>
      </c>
      <c r="B77">
        <v>9875.52</v>
      </c>
    </row>
    <row r="78" spans="1:2" x14ac:dyDescent="0.3">
      <c r="A78" t="s">
        <v>106</v>
      </c>
      <c r="B78">
        <v>0.72</v>
      </c>
    </row>
    <row r="79" spans="1:2" x14ac:dyDescent="0.3">
      <c r="A79" t="s">
        <v>107</v>
      </c>
      <c r="B79">
        <v>370400</v>
      </c>
    </row>
    <row r="80" spans="1:2" x14ac:dyDescent="0.3">
      <c r="A80" t="s">
        <v>108</v>
      </c>
      <c r="B80">
        <v>313920</v>
      </c>
    </row>
    <row r="81" spans="1:2" x14ac:dyDescent="0.3">
      <c r="A81" t="s">
        <v>109</v>
      </c>
      <c r="B81">
        <v>29.529315690000001</v>
      </c>
    </row>
    <row r="82" spans="1:2" x14ac:dyDescent="0.3">
      <c r="A82" t="s">
        <v>110</v>
      </c>
      <c r="B82">
        <v>10329.93</v>
      </c>
    </row>
    <row r="83" spans="1:2" x14ac:dyDescent="0.3">
      <c r="A83" t="s">
        <v>111</v>
      </c>
      <c r="B83">
        <v>22</v>
      </c>
    </row>
    <row r="84" spans="1:2" x14ac:dyDescent="0.3">
      <c r="A84" t="s">
        <v>112</v>
      </c>
      <c r="B84">
        <v>14816000</v>
      </c>
    </row>
    <row r="85" spans="1:2" x14ac:dyDescent="0.3">
      <c r="A85" t="s">
        <v>113</v>
      </c>
      <c r="B85">
        <v>59400</v>
      </c>
    </row>
    <row r="86" spans="1:2" x14ac:dyDescent="0.3">
      <c r="A86" t="s">
        <v>114</v>
      </c>
      <c r="B86">
        <v>2</v>
      </c>
    </row>
    <row r="87" spans="1:2" x14ac:dyDescent="0.3">
      <c r="A87" t="s">
        <v>115</v>
      </c>
      <c r="B87">
        <v>2</v>
      </c>
    </row>
    <row r="88" spans="1:2" x14ac:dyDescent="0.3">
      <c r="A88" t="s">
        <v>116</v>
      </c>
      <c r="B88">
        <v>785</v>
      </c>
    </row>
    <row r="89" spans="1:2" x14ac:dyDescent="0.3">
      <c r="A89" t="s">
        <v>117</v>
      </c>
      <c r="B89">
        <v>2415727.7158911326</v>
      </c>
    </row>
    <row r="90" spans="1:2" x14ac:dyDescent="0.3">
      <c r="A90" t="s">
        <v>118</v>
      </c>
    </row>
    <row r="91" spans="1:2" x14ac:dyDescent="0.3">
      <c r="A91" t="s">
        <v>119</v>
      </c>
      <c r="B91">
        <v>9.6</v>
      </c>
    </row>
    <row r="92" spans="1:2" x14ac:dyDescent="0.3">
      <c r="A92" t="s">
        <v>120</v>
      </c>
      <c r="B92">
        <v>71387.37000000001</v>
      </c>
    </row>
    <row r="93" spans="1:2" x14ac:dyDescent="0.3">
      <c r="A93" t="s">
        <v>121</v>
      </c>
      <c r="B93">
        <v>1.3277777777777778E-4</v>
      </c>
    </row>
    <row r="94" spans="1:2" x14ac:dyDescent="0.3">
      <c r="A94" t="s">
        <v>122</v>
      </c>
      <c r="B94">
        <v>10668</v>
      </c>
    </row>
    <row r="95" spans="1:2" x14ac:dyDescent="0.3">
      <c r="A95" t="s">
        <v>123</v>
      </c>
      <c r="B95">
        <v>0.85</v>
      </c>
    </row>
    <row r="96" spans="1:2" x14ac:dyDescent="0.3">
      <c r="A96" t="s">
        <v>124</v>
      </c>
      <c r="B96">
        <v>374500</v>
      </c>
    </row>
    <row r="97" spans="1:2" x14ac:dyDescent="0.3">
      <c r="A97" t="s">
        <v>125</v>
      </c>
      <c r="B97">
        <v>56.124860801609124</v>
      </c>
    </row>
    <row r="98" spans="1:2" x14ac:dyDescent="0.3">
      <c r="A98" t="s">
        <v>126</v>
      </c>
      <c r="B98">
        <v>9.1371364756384406</v>
      </c>
    </row>
    <row r="99" spans="1:2" x14ac:dyDescent="0.3">
      <c r="A99" t="s">
        <v>127</v>
      </c>
      <c r="B99">
        <v>38.481999310434787</v>
      </c>
    </row>
    <row r="100" spans="1:2" x14ac:dyDescent="0.3">
      <c r="A100" t="s">
        <v>128</v>
      </c>
      <c r="B100">
        <v>28.062430400804562</v>
      </c>
    </row>
    <row r="101" spans="1:2" x14ac:dyDescent="0.3">
      <c r="A101" t="s">
        <v>129</v>
      </c>
      <c r="B101">
        <v>0.60514453105565114</v>
      </c>
    </row>
    <row r="102" spans="1:2" x14ac:dyDescent="0.3">
      <c r="A102" t="s">
        <v>130</v>
      </c>
      <c r="B102">
        <v>1.5533132008585351</v>
      </c>
    </row>
    <row r="103" spans="1:2" x14ac:dyDescent="0.3">
      <c r="A103" t="s">
        <v>131</v>
      </c>
      <c r="B103">
        <v>25.139281788029233</v>
      </c>
    </row>
    <row r="104" spans="1:2" x14ac:dyDescent="0.3">
      <c r="A104" t="s">
        <v>132</v>
      </c>
      <c r="B104">
        <v>10.713292517686073</v>
      </c>
    </row>
    <row r="105" spans="1:2" x14ac:dyDescent="0.3">
      <c r="A105" t="s">
        <v>133</v>
      </c>
      <c r="B105">
        <v>-0.91270835566536401</v>
      </c>
    </row>
    <row r="106" spans="1:2" x14ac:dyDescent="0.3">
      <c r="A106" t="s">
        <v>134</v>
      </c>
      <c r="B106">
        <v>6.2418877040700433</v>
      </c>
    </row>
    <row r="107" spans="1:2" x14ac:dyDescent="0.3">
      <c r="A107" t="s">
        <v>135</v>
      </c>
      <c r="B107">
        <v>59.544019593568876</v>
      </c>
    </row>
    <row r="108" spans="1:2" x14ac:dyDescent="0.3">
      <c r="A108" t="s">
        <v>136</v>
      </c>
      <c r="B108">
        <v>15.432954298327832</v>
      </c>
    </row>
    <row r="109" spans="1:2" x14ac:dyDescent="0.3">
      <c r="A109" t="s">
        <v>137</v>
      </c>
      <c r="B109">
        <v>49.284091000619313</v>
      </c>
    </row>
    <row r="110" spans="1:2" x14ac:dyDescent="0.3">
      <c r="A110" t="s">
        <v>138</v>
      </c>
      <c r="B110">
        <v>5.7159089993806784</v>
      </c>
    </row>
    <row r="111" spans="1:2" x14ac:dyDescent="0.3">
      <c r="A111" t="s">
        <v>139</v>
      </c>
      <c r="B111">
        <v>56.687819342870029</v>
      </c>
    </row>
    <row r="112" spans="1:2" x14ac:dyDescent="0.3">
      <c r="A112" t="s">
        <v>140</v>
      </c>
      <c r="B112">
        <v>7.7164771491639161</v>
      </c>
    </row>
    <row r="113" spans="1:2" x14ac:dyDescent="0.3">
      <c r="A113" t="s">
        <v>141</v>
      </c>
      <c r="B113">
        <v>2.7460344297079406</v>
      </c>
    </row>
    <row r="114" spans="1:2" x14ac:dyDescent="0.3">
      <c r="A114" t="s">
        <v>142</v>
      </c>
      <c r="B114">
        <v>2.0005681497832373</v>
      </c>
    </row>
    <row r="115" spans="1:2" x14ac:dyDescent="0.3">
      <c r="A115" t="s">
        <v>143</v>
      </c>
      <c r="B115">
        <v>52.39182882329245</v>
      </c>
    </row>
    <row r="116" spans="1:2" x14ac:dyDescent="0.3">
      <c r="A116" t="s">
        <v>144</v>
      </c>
      <c r="B116">
        <v>3.239015099649051</v>
      </c>
    </row>
    <row r="117" spans="1:2" x14ac:dyDescent="0.3">
      <c r="A117" t="s">
        <v>145</v>
      </c>
      <c r="B117">
        <v>2.2754342050625924</v>
      </c>
    </row>
    <row r="118" spans="1:2" x14ac:dyDescent="0.3">
      <c r="A118" t="s">
        <v>146</v>
      </c>
      <c r="B118">
        <v>4.1563832106607652</v>
      </c>
    </row>
    <row r="119" spans="1:2" x14ac:dyDescent="0.3">
      <c r="A119" t="s">
        <v>147</v>
      </c>
      <c r="B119">
        <v>51.296403820996936</v>
      </c>
    </row>
    <row r="120" spans="1:2" x14ac:dyDescent="0.3">
      <c r="A120" t="s">
        <v>148</v>
      </c>
      <c r="B120">
        <v>8.7718074381221687</v>
      </c>
    </row>
    <row r="121" spans="1:2" x14ac:dyDescent="0.3">
      <c r="A121" t="s">
        <v>149</v>
      </c>
      <c r="B121">
        <v>45.836486480866988</v>
      </c>
    </row>
    <row r="122" spans="1:2" x14ac:dyDescent="0.3">
      <c r="A122" t="s">
        <v>150</v>
      </c>
      <c r="B122">
        <v>8.6635135191330068</v>
      </c>
    </row>
    <row r="123" spans="1:2" x14ac:dyDescent="0.3">
      <c r="A123" t="s">
        <v>151</v>
      </c>
      <c r="B123">
        <v>55.142478320813176</v>
      </c>
    </row>
    <row r="124" spans="1:2" x14ac:dyDescent="0.3">
      <c r="A124" t="s">
        <v>152</v>
      </c>
      <c r="B124">
        <v>11.706807438122169</v>
      </c>
    </row>
    <row r="125" spans="1:2" x14ac:dyDescent="0.3">
      <c r="A125" t="s">
        <v>153</v>
      </c>
      <c r="B125">
        <v>3.0322297316965523</v>
      </c>
    </row>
    <row r="126" spans="1:2" x14ac:dyDescent="0.3">
      <c r="A126" t="s">
        <v>154</v>
      </c>
      <c r="B126">
        <v>49.742705277881434</v>
      </c>
    </row>
    <row r="127" spans="1:2" x14ac:dyDescent="0.3">
      <c r="A127" t="s">
        <v>155</v>
      </c>
      <c r="B127">
        <v>6.6169932456315266</v>
      </c>
    </row>
    <row r="128" spans="1:2" x14ac:dyDescent="0.3">
      <c r="A128" t="s">
        <v>156</v>
      </c>
      <c r="B128">
        <v>6.2997647688510385</v>
      </c>
    </row>
    <row r="129" spans="1:2" x14ac:dyDescent="0.3">
      <c r="A129" t="s">
        <v>157</v>
      </c>
      <c r="B129">
        <v>929.30905767562092</v>
      </c>
    </row>
    <row r="130" spans="1:2" x14ac:dyDescent="0.3">
      <c r="A130" t="s">
        <v>158</v>
      </c>
      <c r="B130">
        <v>12.6</v>
      </c>
    </row>
    <row r="131" spans="1:2" x14ac:dyDescent="0.3">
      <c r="A131" t="s">
        <v>159</v>
      </c>
      <c r="B131">
        <v>0.3</v>
      </c>
    </row>
    <row r="132" spans="1:2" x14ac:dyDescent="0.3">
      <c r="A132" t="s">
        <v>160</v>
      </c>
      <c r="B132">
        <v>0</v>
      </c>
    </row>
    <row r="133" spans="1:2" x14ac:dyDescent="0.3">
      <c r="A133" t="s">
        <v>161</v>
      </c>
      <c r="B133">
        <v>0</v>
      </c>
    </row>
    <row r="134" spans="1:2" x14ac:dyDescent="0.3">
      <c r="A134" t="s">
        <v>162</v>
      </c>
      <c r="B134">
        <v>0</v>
      </c>
    </row>
    <row r="135" spans="1:2" x14ac:dyDescent="0.3">
      <c r="A135" t="s">
        <v>163</v>
      </c>
    </row>
    <row r="136" spans="1:2" x14ac:dyDescent="0.3">
      <c r="A136" t="s">
        <v>164</v>
      </c>
      <c r="B136">
        <v>1</v>
      </c>
    </row>
    <row r="137" spans="1:2" x14ac:dyDescent="0.3">
      <c r="A137" t="s">
        <v>165</v>
      </c>
      <c r="B137">
        <v>10.667999999999999</v>
      </c>
    </row>
    <row r="138" spans="1:2" x14ac:dyDescent="0.3">
      <c r="A138" t="s">
        <v>166</v>
      </c>
      <c r="B138">
        <v>9.9062706506717724E-2</v>
      </c>
    </row>
    <row r="139" spans="1:2" x14ac:dyDescent="0.3">
      <c r="A139" t="s">
        <v>167</v>
      </c>
      <c r="B139">
        <v>4.7232119102246627E-3</v>
      </c>
    </row>
    <row r="140" spans="1:2" x14ac:dyDescent="0.3">
      <c r="A140" t="s">
        <v>168</v>
      </c>
      <c r="B140">
        <v>1.1461318770091544E-3</v>
      </c>
    </row>
    <row r="141" spans="1:2" x14ac:dyDescent="0.3">
      <c r="A141" t="s">
        <v>169</v>
      </c>
      <c r="B141">
        <v>9.2495271130551009E-4</v>
      </c>
    </row>
    <row r="142" spans="1:2" x14ac:dyDescent="0.3">
      <c r="A142" t="s">
        <v>170</v>
      </c>
      <c r="B142">
        <v>5.49264139970718E-3</v>
      </c>
    </row>
    <row r="143" spans="1:2" x14ac:dyDescent="0.3">
      <c r="A143" t="s">
        <v>171</v>
      </c>
      <c r="B143">
        <v>1.3958949843559216E-3</v>
      </c>
    </row>
    <row r="144" spans="1:2" x14ac:dyDescent="0.3">
      <c r="A144" t="s">
        <v>172</v>
      </c>
      <c r="B144">
        <v>6.2407992428913761E-2</v>
      </c>
    </row>
    <row r="145" spans="1:2" x14ac:dyDescent="0.3">
      <c r="A145" t="s">
        <v>173</v>
      </c>
      <c r="B145">
        <v>0</v>
      </c>
    </row>
    <row r="146" spans="1:2" x14ac:dyDescent="0.3">
      <c r="A146" t="s">
        <v>174</v>
      </c>
      <c r="B146">
        <v>0.02</v>
      </c>
    </row>
    <row r="147" spans="1:2" x14ac:dyDescent="0.3">
      <c r="A147" t="s">
        <v>175</v>
      </c>
      <c r="B147">
        <v>0</v>
      </c>
    </row>
    <row r="148" spans="1:2" x14ac:dyDescent="0.3">
      <c r="A148" t="s">
        <v>176</v>
      </c>
      <c r="B148">
        <v>2.9718811952015316E-3</v>
      </c>
    </row>
    <row r="149" spans="1:2" x14ac:dyDescent="0.3">
      <c r="A149" t="s">
        <v>177</v>
      </c>
      <c r="B149">
        <v>9.9062706506717724E-2</v>
      </c>
    </row>
    <row r="150" spans="1:2" x14ac:dyDescent="0.3">
      <c r="A150" t="s">
        <v>178</v>
      </c>
      <c r="B150">
        <v>0</v>
      </c>
    </row>
    <row r="151" spans="1:2" x14ac:dyDescent="0.3">
      <c r="A151" t="s">
        <v>179</v>
      </c>
      <c r="B151">
        <v>0</v>
      </c>
    </row>
    <row r="152" spans="1:2" x14ac:dyDescent="0.3">
      <c r="A152" t="s">
        <v>180</v>
      </c>
      <c r="B152">
        <v>1.3262149319735339</v>
      </c>
    </row>
    <row r="153" spans="1:2" x14ac:dyDescent="0.3">
      <c r="A153" t="s">
        <v>181</v>
      </c>
      <c r="B153">
        <v>1.1338212875776226</v>
      </c>
    </row>
    <row r="154" spans="1:2" x14ac:dyDescent="0.3">
      <c r="A154" t="s">
        <v>182</v>
      </c>
      <c r="B154">
        <v>0</v>
      </c>
    </row>
    <row r="155" spans="1:2" x14ac:dyDescent="0.3">
      <c r="A155" t="s">
        <v>183</v>
      </c>
      <c r="B155">
        <v>2.4600362195511565</v>
      </c>
    </row>
    <row r="156" spans="1:2" x14ac:dyDescent="0.3">
      <c r="A156" t="s">
        <v>184</v>
      </c>
      <c r="B156">
        <v>2.5230863808381545E-2</v>
      </c>
    </row>
    <row r="157" spans="1:2" x14ac:dyDescent="0.3">
      <c r="A157" t="s">
        <v>185</v>
      </c>
      <c r="B157">
        <v>0.73316262774287022</v>
      </c>
    </row>
    <row r="158" spans="1:2" x14ac:dyDescent="0.3">
      <c r="A158" t="s">
        <v>186</v>
      </c>
      <c r="B158">
        <v>1813.7678775881491</v>
      </c>
    </row>
    <row r="159" spans="1:2" x14ac:dyDescent="0.3">
      <c r="A159" t="s">
        <v>187</v>
      </c>
      <c r="B159">
        <v>287287.14241226617</v>
      </c>
    </row>
    <row r="160" spans="1:2" x14ac:dyDescent="0.3">
      <c r="A160" t="s">
        <v>188</v>
      </c>
      <c r="B160">
        <v>15771.424469748588</v>
      </c>
    </row>
    <row r="161" spans="1:2" x14ac:dyDescent="0.3">
      <c r="A161" t="s">
        <v>189</v>
      </c>
      <c r="B161">
        <v>13586.878480067458</v>
      </c>
    </row>
    <row r="162" spans="1:2" x14ac:dyDescent="0.3">
      <c r="A162" t="s">
        <v>190</v>
      </c>
      <c r="B162">
        <v>218796.5245391482</v>
      </c>
    </row>
    <row r="163" spans="1:2" x14ac:dyDescent="0.3">
      <c r="A163" t="s">
        <v>191</v>
      </c>
      <c r="B163">
        <v>15581.443767497803</v>
      </c>
    </row>
    <row r="164" spans="1:2" x14ac:dyDescent="0.3">
      <c r="A164" t="s">
        <v>192</v>
      </c>
      <c r="B164">
        <v>88294.848015820884</v>
      </c>
    </row>
    <row r="165" spans="1:2" x14ac:dyDescent="0.3">
      <c r="A165" t="s">
        <v>193</v>
      </c>
      <c r="B165">
        <v>185607.16200000004</v>
      </c>
    </row>
    <row r="166" spans="1:2" x14ac:dyDescent="0.3">
      <c r="A166" t="s">
        <v>194</v>
      </c>
      <c r="B166">
        <v>410673.71170149255</v>
      </c>
    </row>
    <row r="167" spans="1:2" x14ac:dyDescent="0.3">
      <c r="A167" t="s">
        <v>195</v>
      </c>
      <c r="B167">
        <v>1235599.1353860416</v>
      </c>
    </row>
    <row r="168" spans="1:2" x14ac:dyDescent="0.3">
      <c r="A168" t="s">
        <v>196</v>
      </c>
      <c r="B168">
        <v>27.63603686965725</v>
      </c>
    </row>
    <row r="169" spans="1:2" x14ac:dyDescent="0.3">
      <c r="A169" t="s">
        <v>197</v>
      </c>
      <c r="B169">
        <v>54.054382107556755</v>
      </c>
    </row>
    <row r="170" spans="1:2" x14ac:dyDescent="0.3">
      <c r="A170" t="s">
        <v>198</v>
      </c>
      <c r="B170">
        <v>52.262611185421846</v>
      </c>
    </row>
    <row r="171" spans="1:2" x14ac:dyDescent="0.3">
      <c r="A171" t="s">
        <v>199</v>
      </c>
      <c r="B171">
        <v>26.1</v>
      </c>
    </row>
    <row r="172" spans="1:2" x14ac:dyDescent="0.3">
      <c r="A172" t="s">
        <v>200</v>
      </c>
      <c r="B172">
        <v>6</v>
      </c>
    </row>
    <row r="173" spans="1:2" x14ac:dyDescent="0.3">
      <c r="A173" t="s">
        <v>201</v>
      </c>
      <c r="B173">
        <v>28.120458853016029</v>
      </c>
    </row>
    <row r="174" spans="1:2" x14ac:dyDescent="0.3">
      <c r="A174" t="s">
        <v>202</v>
      </c>
      <c r="B174">
        <v>22.1</v>
      </c>
    </row>
    <row r="175" spans="1:2" x14ac:dyDescent="0.3">
      <c r="A175" t="s">
        <v>203</v>
      </c>
      <c r="B175">
        <v>26.1</v>
      </c>
    </row>
    <row r="176" spans="1:2" x14ac:dyDescent="0.3">
      <c r="A176" t="s">
        <v>204</v>
      </c>
      <c r="B176">
        <v>26.391690660125853</v>
      </c>
    </row>
    <row r="177" spans="1:2" x14ac:dyDescent="0.3">
      <c r="A177" t="s">
        <v>205</v>
      </c>
      <c r="B177">
        <v>0.99</v>
      </c>
    </row>
    <row r="178" spans="1:2" x14ac:dyDescent="0.3">
      <c r="A178" t="s">
        <v>206</v>
      </c>
      <c r="B178">
        <v>0.99</v>
      </c>
    </row>
    <row r="179" spans="1:2" x14ac:dyDescent="0.3">
      <c r="A179" t="s">
        <v>207</v>
      </c>
      <c r="B179">
        <v>0.995</v>
      </c>
    </row>
    <row r="180" spans="1:2" x14ac:dyDescent="0.3">
      <c r="A180" t="s">
        <v>208</v>
      </c>
      <c r="B180">
        <v>0.98</v>
      </c>
    </row>
    <row r="181" spans="1:2" x14ac:dyDescent="0.3">
      <c r="A181" t="s">
        <v>209</v>
      </c>
      <c r="B181">
        <v>0.70626891970294015</v>
      </c>
    </row>
    <row r="182" spans="1:2" x14ac:dyDescent="0.3">
      <c r="A182" t="s">
        <v>210</v>
      </c>
      <c r="B182">
        <v>0.99</v>
      </c>
    </row>
    <row r="183" spans="1:2" x14ac:dyDescent="0.3">
      <c r="A183" t="s">
        <v>211</v>
      </c>
      <c r="B183">
        <v>0.99085722143251642</v>
      </c>
    </row>
    <row r="184" spans="1:2" x14ac:dyDescent="0.3">
      <c r="A184" t="s">
        <v>212</v>
      </c>
      <c r="B184">
        <v>0.98841647160710466</v>
      </c>
    </row>
    <row r="185" spans="1:2" x14ac:dyDescent="0.3">
      <c r="A185" t="s">
        <v>213</v>
      </c>
      <c r="B185">
        <v>0.99199999999999999</v>
      </c>
    </row>
    <row r="186" spans="1:2" x14ac:dyDescent="0.3">
      <c r="A186" t="s">
        <v>214</v>
      </c>
      <c r="B186">
        <v>22.356345821271493</v>
      </c>
    </row>
    <row r="187" spans="1:2" x14ac:dyDescent="0.3">
      <c r="A187" t="s">
        <v>215</v>
      </c>
      <c r="B187">
        <v>22.620013814926697</v>
      </c>
    </row>
    <row r="188" spans="1:2" x14ac:dyDescent="0.3">
      <c r="A188" t="s">
        <v>216</v>
      </c>
      <c r="B188">
        <v>24.576207014142479</v>
      </c>
    </row>
    <row r="189" spans="1:2" x14ac:dyDescent="0.3">
      <c r="A189" t="s">
        <v>217</v>
      </c>
      <c r="B189">
        <v>1.3382993730118355E-4</v>
      </c>
    </row>
    <row r="190" spans="1:2" x14ac:dyDescent="0.3">
      <c r="A190" t="s">
        <v>218</v>
      </c>
      <c r="B190">
        <v>1.0605215952340578E-4</v>
      </c>
    </row>
    <row r="191" spans="1:2" x14ac:dyDescent="0.3">
      <c r="A191" t="s">
        <v>219</v>
      </c>
      <c r="B191">
        <v>1.2117454034645413E-4</v>
      </c>
    </row>
    <row r="192" spans="1:2" x14ac:dyDescent="0.3">
      <c r="A192" t="s">
        <v>220</v>
      </c>
      <c r="B192">
        <v>1.01</v>
      </c>
    </row>
    <row r="193" spans="1:2" x14ac:dyDescent="0.3">
      <c r="A193" t="s">
        <v>221</v>
      </c>
      <c r="B193">
        <v>2415727.7158911326</v>
      </c>
    </row>
    <row r="194" spans="1:2" x14ac:dyDescent="0.3">
      <c r="A194" t="s">
        <v>222</v>
      </c>
      <c r="B194">
        <v>1235599.1353860416</v>
      </c>
    </row>
    <row r="195" spans="1:2" x14ac:dyDescent="0.3">
      <c r="A195" t="s">
        <v>223</v>
      </c>
      <c r="B195">
        <v>855878.65050509048</v>
      </c>
    </row>
    <row r="196" spans="1:2" x14ac:dyDescent="0.3">
      <c r="A196" t="s">
        <v>224</v>
      </c>
      <c r="B196">
        <v>749000</v>
      </c>
    </row>
    <row r="197" spans="1:2" x14ac:dyDescent="0.3">
      <c r="A197" t="s">
        <v>225</v>
      </c>
      <c r="B197">
        <v>2.1765808976567511</v>
      </c>
    </row>
    <row r="198" spans="1:2" x14ac:dyDescent="0.3">
      <c r="A198" t="s">
        <v>226</v>
      </c>
      <c r="B198">
        <v>25.837879700490156</v>
      </c>
    </row>
    <row r="199" spans="1:2" x14ac:dyDescent="0.3">
      <c r="A199" t="s">
        <v>227</v>
      </c>
      <c r="B199">
        <v>27.118892715425591</v>
      </c>
    </row>
    <row r="200" spans="1:2" x14ac:dyDescent="0.3">
      <c r="A200" t="s">
        <v>228</v>
      </c>
      <c r="B200">
        <v>28.027577540644028</v>
      </c>
    </row>
    <row r="201" spans="1:2" x14ac:dyDescent="0.3">
      <c r="A201" t="s">
        <v>229</v>
      </c>
      <c r="B201">
        <v>0.3508069904439442</v>
      </c>
    </row>
    <row r="202" spans="1:2" x14ac:dyDescent="0.3">
      <c r="A202" t="s">
        <v>230</v>
      </c>
      <c r="B202">
        <v>0.14557852821125344</v>
      </c>
    </row>
    <row r="203" spans="1:2" x14ac:dyDescent="0.3">
      <c r="A203" t="s">
        <v>231</v>
      </c>
      <c r="B203">
        <v>2.0974996006895452E-2</v>
      </c>
    </row>
    <row r="204" spans="1:2" x14ac:dyDescent="0.3">
      <c r="A204" t="s">
        <v>232</v>
      </c>
      <c r="B204">
        <v>113.47198059718367</v>
      </c>
    </row>
    <row r="205" spans="1:2" x14ac:dyDescent="0.3">
      <c r="A205" t="s">
        <v>233</v>
      </c>
      <c r="B205">
        <v>873830.7017818219</v>
      </c>
    </row>
    <row r="206" spans="1:2" x14ac:dyDescent="0.3">
      <c r="A206" t="s">
        <v>234</v>
      </c>
      <c r="B206">
        <v>25.391252881080295</v>
      </c>
    </row>
    <row r="207" spans="1:2" x14ac:dyDescent="0.3">
      <c r="A207" t="s">
        <v>235</v>
      </c>
      <c r="B207">
        <v>0.70725217278950558</v>
      </c>
    </row>
    <row r="208" spans="1:2" x14ac:dyDescent="0.3">
      <c r="A208" t="s">
        <v>236</v>
      </c>
      <c r="B208">
        <v>26.391690660125853</v>
      </c>
    </row>
    <row r="209" spans="1:2" x14ac:dyDescent="0.3">
      <c r="A209" t="s">
        <v>237</v>
      </c>
      <c r="B209">
        <v>1235599.1353860416</v>
      </c>
    </row>
    <row r="210" spans="1:2" x14ac:dyDescent="0.3">
      <c r="A210" t="s">
        <v>238</v>
      </c>
      <c r="B210">
        <v>26.355279392132282</v>
      </c>
    </row>
    <row r="211" spans="1:2" x14ac:dyDescent="0.3">
      <c r="A211" t="s">
        <v>239</v>
      </c>
      <c r="B211">
        <v>1245929.0653860415</v>
      </c>
    </row>
    <row r="212" spans="1:2" x14ac:dyDescent="0.3">
      <c r="A212" t="s">
        <v>240</v>
      </c>
      <c r="B212">
        <v>26.99405496134419</v>
      </c>
    </row>
    <row r="213" spans="1:2" x14ac:dyDescent="0.3">
      <c r="A213" t="s">
        <v>241</v>
      </c>
      <c r="B213">
        <v>1559849.0653860415</v>
      </c>
    </row>
    <row r="214" spans="1:2" x14ac:dyDescent="0.3">
      <c r="A214" t="s">
        <v>242</v>
      </c>
      <c r="B214">
        <v>25.962717454571557</v>
      </c>
    </row>
    <row r="215" spans="1:2" x14ac:dyDescent="0.3">
      <c r="A215" t="s">
        <v>243</v>
      </c>
      <c r="B215">
        <v>2101807.7158911321</v>
      </c>
    </row>
    <row r="216" spans="1:2" x14ac:dyDescent="0.3">
      <c r="A216" t="s">
        <v>244</v>
      </c>
      <c r="B216">
        <v>26.426191260290867</v>
      </c>
    </row>
    <row r="217" spans="1:2" x14ac:dyDescent="0.3">
      <c r="A217" t="s">
        <v>245</v>
      </c>
      <c r="B217">
        <v>2415727.7158911326</v>
      </c>
    </row>
    <row r="218" spans="1:2" x14ac:dyDescent="0.3">
      <c r="A218" t="s">
        <v>246</v>
      </c>
      <c r="B218">
        <v>0.1031885987398789</v>
      </c>
    </row>
    <row r="219" spans="1:2" x14ac:dyDescent="0.3">
      <c r="A219" t="s">
        <v>247</v>
      </c>
      <c r="B219">
        <v>4.5277819246225898E-2</v>
      </c>
    </row>
    <row r="220" spans="1:2" x14ac:dyDescent="0.3">
      <c r="A220" t="s">
        <v>248</v>
      </c>
      <c r="B220">
        <v>0.17744529220985983</v>
      </c>
    </row>
    <row r="221" spans="1:2" x14ac:dyDescent="0.3">
      <c r="A221" t="s">
        <v>249</v>
      </c>
      <c r="B221">
        <v>0.18004036458669084</v>
      </c>
    </row>
    <row r="222" spans="1:2" x14ac:dyDescent="0.3">
      <c r="A222" t="s">
        <v>250</v>
      </c>
      <c r="B222">
        <v>0.86221358956018601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9C6D90-5A78-4004-BD53-C0F4D0A57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GetPath</vt:lpstr>
      <vt:lpstr>Sheet1</vt:lpstr>
      <vt:lpstr>tomav</vt:lpstr>
      <vt:lpstr>FolderPath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</dc:creator>
  <cp:lastModifiedBy>Tomaz</cp:lastModifiedBy>
  <dcterms:created xsi:type="dcterms:W3CDTF">2026-06-14T23:34:27Z</dcterms:created>
  <dcterms:modified xsi:type="dcterms:W3CDTF">2026-06-28T20:44:58Z</dcterms:modified>
</cp:coreProperties>
</file>